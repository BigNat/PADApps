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PADApps\HydrauliCAD\Data\layer_configs\"/>
    </mc:Choice>
  </mc:AlternateContent>
  <xr:revisionPtr revIDLastSave="0" documentId="13_ncr:1_{8410BBF9-2898-498D-9C14-04E0821CAAA7}" xr6:coauthVersionLast="47" xr6:coauthVersionMax="47" xr10:uidLastSave="{00000000-0000-0000-0000-000000000000}"/>
  <bookViews>
    <workbookView xWindow="34830" yWindow="4185" windowWidth="21600" windowHeight="11295" xr2:uid="{00000000-000D-0000-FFFF-FFFF00000000}"/>
  </bookViews>
  <sheets>
    <sheet name="DATA EDITOR" sheetId="1" r:id="rId1"/>
    <sheet name="Pipes View" sheetId="2" r:id="rId2"/>
    <sheet name="Colors View" sheetId="3" r:id="rId3"/>
    <sheet name="Lineweights View" sheetId="4" r:id="rId4"/>
    <sheet name="Linetypes View" sheetId="5" r:id="rId5"/>
  </sheets>
  <definedNames>
    <definedName name="Hyd_Comment_Calc_color">'DATA EDITOR'!$B$19</definedName>
    <definedName name="Hyd_Comment_Calc_linetype">'DATA EDITOR'!$D$19</definedName>
    <definedName name="Hyd_Comment_Calc_lineweight">'DATA EDITOR'!$C$19</definedName>
    <definedName name="Hyd_Comment_Calc_name">'DATA EDITOR'!$A$19</definedName>
    <definedName name="Hyd_Comment_Info_color">'DATA EDITOR'!$B$18</definedName>
    <definedName name="Hyd_Comment_Info_linetype">'DATA EDITOR'!$D$18</definedName>
    <definedName name="Hyd_Comment_Info_lineweight">'DATA EDITOR'!$C$18</definedName>
    <definedName name="Hyd_Comment_Info_name">'DATA EDITOR'!$A$18</definedName>
    <definedName name="Hyd_Comment_Note_color">'DATA EDITOR'!$B$20</definedName>
    <definedName name="Hyd_Comment_Note_linetype">'DATA EDITOR'!$D$20</definedName>
    <definedName name="Hyd_Comment_Note_lineweight">'DATA EDITOR'!$C$20</definedName>
    <definedName name="Hyd_Comment_Note_name">'DATA EDITOR'!$A$20</definedName>
    <definedName name="Hyd_Comment_ToDo_color">'DATA EDITOR'!$B$21</definedName>
    <definedName name="Hyd_Comment_ToDo_linetype">'DATA EDITOR'!$D$21</definedName>
    <definedName name="Hyd_Comment_ToDo_lineweight">'DATA EDITOR'!$C$21</definedName>
    <definedName name="Hyd_Comment_ToDo_name">'DATA EDITOR'!$A$21</definedName>
    <definedName name="Hyd_Existing_e_color">'DATA EDITOR'!$B$28</definedName>
    <definedName name="Hyd_Existing_e_linetype">'DATA EDITOR'!$D$28</definedName>
    <definedName name="Hyd_Existing_e_lineweight">'DATA EDITOR'!$C$28</definedName>
    <definedName name="Hyd_Existing_e_name">'DATA EDITOR'!$A$28</definedName>
    <definedName name="Hyd_Existing_g_color">'DATA EDITOR'!$B$31</definedName>
    <definedName name="Hyd_Existing_g_linetype">'DATA EDITOR'!$D$31</definedName>
    <definedName name="Hyd_Existing_g_lineweight">'DATA EDITOR'!$C$31</definedName>
    <definedName name="Hyd_Existing_g_name">'DATA EDITOR'!$A$31</definedName>
    <definedName name="Hyd_Existing_s_color">'DATA EDITOR'!$B$30</definedName>
    <definedName name="Hyd_Existing_s_linetype">'DATA EDITOR'!$D$30</definedName>
    <definedName name="Hyd_Existing_s_lineweight">'DATA EDITOR'!$C$30</definedName>
    <definedName name="Hyd_Existing_s_name">'DATA EDITOR'!$A$30</definedName>
    <definedName name="Hyd_Existing_w_color">'DATA EDITOR'!$B$29</definedName>
    <definedName name="Hyd_Existing_w_linetype">'DATA EDITOR'!$D$29</definedName>
    <definedName name="Hyd_Existing_w_lineweight">'DATA EDITOR'!$C$29</definedName>
    <definedName name="Hyd_Existing_w_name">'DATA EDITOR'!$A$29</definedName>
    <definedName name="Hyd_Existing_x_color">'DATA EDITOR'!$B$27</definedName>
    <definedName name="Hyd_Existing_x_linetype">'DATA EDITOR'!$D$27</definedName>
    <definedName name="Hyd_Existing_x_lineweight">'DATA EDITOR'!$C$27</definedName>
    <definedName name="Hyd_Existing_x_name">'DATA EDITOR'!$A$27</definedName>
    <definedName name="Hyd_Hatch_Conc_color">'DATA EDITOR'!$B$25</definedName>
    <definedName name="Hyd_Hatch_Conc_linetype">'DATA EDITOR'!$D$25</definedName>
    <definedName name="Hyd_Hatch_Conc_lineweight">'DATA EDITOR'!$C$25</definedName>
    <definedName name="Hyd_Hatch_Conc_name">'DATA EDITOR'!$A$25</definedName>
    <definedName name="Hyd_Hatch_General_color">'DATA EDITOR'!$B$23</definedName>
    <definedName name="Hyd_Hatch_General_linetype">'DATA EDITOR'!$D$23</definedName>
    <definedName name="Hyd_Hatch_General_lineweight">'DATA EDITOR'!$C$23</definedName>
    <definedName name="Hyd_Hatch_General_name">'DATA EDITOR'!$A$23</definedName>
    <definedName name="Hyd_Hatch_Heat_color">'DATA EDITOR'!$B$26</definedName>
    <definedName name="Hyd_Hatch_Heat_linetype">'DATA EDITOR'!$D$26</definedName>
    <definedName name="Hyd_Hatch_Heat_lineweight">'DATA EDITOR'!$C$26</definedName>
    <definedName name="Hyd_Hatch_Heat_name">'DATA EDITOR'!$A$26</definedName>
    <definedName name="Hyd_Hatch_Sound_color">'DATA EDITOR'!$B$24</definedName>
    <definedName name="Hyd_Hatch_Sound_linetype">'DATA EDITOR'!$D$24</definedName>
    <definedName name="Hyd_Hatch_Sound_lineweight">'DATA EDITOR'!$C$24</definedName>
    <definedName name="Hyd_Hatch_Sound_name">'DATA EDITOR'!$A$24</definedName>
    <definedName name="Hyd_Label_Cloud_color">'DATA EDITOR'!$B$35</definedName>
    <definedName name="Hyd_Label_Cloud_linetype">'DATA EDITOR'!$D$35</definedName>
    <definedName name="Hyd_Label_Cloud_lineweight">'DATA EDITOR'!$C$35</definedName>
    <definedName name="Hyd_Label_Cloud_name">'DATA EDITOR'!$A$35</definedName>
    <definedName name="Hyd_Label_color">'DATA EDITOR'!$B$32</definedName>
    <definedName name="Hyd_Label_Detail_color">'DATA EDITOR'!$B$39</definedName>
    <definedName name="Hyd_Label_Detail_linetype">'DATA EDITOR'!$D$39</definedName>
    <definedName name="Hyd_Label_Detail_lineweight">'DATA EDITOR'!$C$39</definedName>
    <definedName name="Hyd_Label_Detail_name">'DATA EDITOR'!$A$39</definedName>
    <definedName name="Hyd_Label_Dim_color">'DATA EDITOR'!$B$37</definedName>
    <definedName name="Hyd_Label_Dim_linetype">'DATA EDITOR'!$D$37</definedName>
    <definedName name="Hyd_Label_Dim_lineweight">'DATA EDITOR'!$C$37</definedName>
    <definedName name="Hyd_Label_Dim_name">'DATA EDITOR'!$A$37</definedName>
    <definedName name="Hyd_Label_Fire_FH_color">'DATA EDITOR'!$B$59</definedName>
    <definedName name="Hyd_Label_Fire_FH_linetype">'DATA EDITOR'!$D$59</definedName>
    <definedName name="Hyd_Label_Fire_FH_lineweight">'DATA EDITOR'!$C$59</definedName>
    <definedName name="Hyd_Label_Fire_FH_name">'DATA EDITOR'!$A$59</definedName>
    <definedName name="Hyd_Label_Fire_FHR_color">'DATA EDITOR'!$B$60</definedName>
    <definedName name="Hyd_Label_Fire_FHR_linetype">'DATA EDITOR'!$D$60</definedName>
    <definedName name="Hyd_Label_Fire_FHR_lineweight">'DATA EDITOR'!$C$60</definedName>
    <definedName name="Hyd_Label_Fire_FHR_name">'DATA EDITOR'!$A$60</definedName>
    <definedName name="Hyd_Label_Fire_FS_color">'DATA EDITOR'!$B$61</definedName>
    <definedName name="Hyd_Label_Fire_FS_linetype">'DATA EDITOR'!$D$61</definedName>
    <definedName name="Hyd_Label_Fire_FS_lineweight">'DATA EDITOR'!$C$61</definedName>
    <definedName name="Hyd_Label_Fire_FS_name">'DATA EDITOR'!$A$61</definedName>
    <definedName name="Hyd_Label_Gas_G_color">'DATA EDITOR'!$B$51</definedName>
    <definedName name="Hyd_Label_Gas_G_linetype">'DATA EDITOR'!$D$51</definedName>
    <definedName name="Hyd_Label_Gas_G_lineweight">'DATA EDITOR'!$C$51</definedName>
    <definedName name="Hyd_Label_Gas_G_name">'DATA EDITOR'!$A$51</definedName>
    <definedName name="Hyd_Label_General_color">'DATA EDITOR'!$B$38</definedName>
    <definedName name="Hyd_Label_General_linetype">'DATA EDITOR'!$D$38</definedName>
    <definedName name="Hyd_Label_General_lineweight">'DATA EDITOR'!$C$38</definedName>
    <definedName name="Hyd_Label_General_name">'DATA EDITOR'!$A$38</definedName>
    <definedName name="Hyd_Label_Hex_color">'DATA EDITOR'!$B$33</definedName>
    <definedName name="Hyd_Label_Hex_linetype">'DATA EDITOR'!$D$33</definedName>
    <definedName name="Hyd_Label_Hex_lineweight">'DATA EDITOR'!$C$33</definedName>
    <definedName name="Hyd_Label_Hex_name">'DATA EDITOR'!$A$33</definedName>
    <definedName name="Hyd_Label_Leader_color">'DATA EDITOR'!$B$36</definedName>
    <definedName name="Hyd_Label_Leader_linetype">'DATA EDITOR'!$D$36</definedName>
    <definedName name="Hyd_Label_Leader_lineweight">'DATA EDITOR'!$C$36</definedName>
    <definedName name="Hyd_Label_Leader_name">'DATA EDITOR'!$A$36</definedName>
    <definedName name="Hyd_Label_linetype">'DATA EDITOR'!$D$32</definedName>
    <definedName name="Hyd_Label_lineweight">'DATA EDITOR'!$C$32</definedName>
    <definedName name="Hyd_Label_name">'DATA EDITOR'!$A$32</definedName>
    <definedName name="Hyd_Label_Rev_color">'DATA EDITOR'!$B$34</definedName>
    <definedName name="Hyd_Label_Rev_linetype">'DATA EDITOR'!$D$34</definedName>
    <definedName name="Hyd_Label_Rev_lineweight">'DATA EDITOR'!$C$34</definedName>
    <definedName name="Hyd_Label_Rev_name">'DATA EDITOR'!$A$34</definedName>
    <definedName name="Hyd_Label_Sanitary_SD_color">'DATA EDITOR'!$B$54</definedName>
    <definedName name="Hyd_Label_Sanitary_SD_linetype">'DATA EDITOR'!$D$54</definedName>
    <definedName name="Hyd_Label_Sanitary_SD_lineweight">'DATA EDITOR'!$C$54</definedName>
    <definedName name="Hyd_Label_Sanitary_SD_name">'DATA EDITOR'!$A$54</definedName>
    <definedName name="Hyd_Label_Sanitary_SP_color">'DATA EDITOR'!$B$55</definedName>
    <definedName name="Hyd_Label_Sanitary_SP_linetype">'DATA EDITOR'!$D$55</definedName>
    <definedName name="Hyd_Label_Sanitary_SP_lineweight">'DATA EDITOR'!$C$55</definedName>
    <definedName name="Hyd_Label_Sanitary_SP_name">'DATA EDITOR'!$A$55</definedName>
    <definedName name="Hyd_Label_Sanitary_SW_color">'DATA EDITOR'!$B$56</definedName>
    <definedName name="Hyd_Label_Sanitary_SW_linetype">'DATA EDITOR'!$D$56</definedName>
    <definedName name="Hyd_Label_Sanitary_SW_lineweight">'DATA EDITOR'!$C$56</definedName>
    <definedName name="Hyd_Label_Sanitary_SW_name">'DATA EDITOR'!$A$56</definedName>
    <definedName name="Hyd_Label_Sanitary_TW_color">'DATA EDITOR'!$B$57</definedName>
    <definedName name="Hyd_Label_Sanitary_TW_linetype">'DATA EDITOR'!$D$57</definedName>
    <definedName name="Hyd_Label_Sanitary_TW_lineweight">'DATA EDITOR'!$C$57</definedName>
    <definedName name="Hyd_Label_Sanitary_TW_name">'DATA EDITOR'!$A$57</definedName>
    <definedName name="Hyd_Label_Sanitary_VP_color">'DATA EDITOR'!$B$58</definedName>
    <definedName name="Hyd_Label_Sanitary_VP_linetype">'DATA EDITOR'!$D$58</definedName>
    <definedName name="Hyd_Label_Sanitary_VP_lineweight">'DATA EDITOR'!$C$58</definedName>
    <definedName name="Hyd_Label_Sanitary_VP_name">'DATA EDITOR'!$A$58</definedName>
    <definedName name="Hyd_Label_Stormwater_SS_color">'DATA EDITOR'!$B$53</definedName>
    <definedName name="Hyd_Label_Stormwater_SS_linetype">'DATA EDITOR'!$D$53</definedName>
    <definedName name="Hyd_Label_Stormwater_SS_lineweight">'DATA EDITOR'!$C$53</definedName>
    <definedName name="Hyd_Label_Stormwater_SS_name">'DATA EDITOR'!$A$53</definedName>
    <definedName name="Hyd_Label_Stormwater_STW_color">'DATA EDITOR'!$B$52</definedName>
    <definedName name="Hyd_Label_Stormwater_STW_linetype">'DATA EDITOR'!$D$52</definedName>
    <definedName name="Hyd_Label_Stormwater_STW_lineweight">'DATA EDITOR'!$C$52</definedName>
    <definedName name="Hyd_Label_Stormwater_STW_name">'DATA EDITOR'!$A$52</definedName>
    <definedName name="Hyd_Label_Text200_color">'DATA EDITOR'!$B$40</definedName>
    <definedName name="Hyd_Label_Text200_linetype">'DATA EDITOR'!$D$40</definedName>
    <definedName name="Hyd_Label_Text200_lineweight">'DATA EDITOR'!$C$40</definedName>
    <definedName name="Hyd_Label_Text200_name">'DATA EDITOR'!$A$40</definedName>
    <definedName name="Hyd_Label_Text250_color">'DATA EDITOR'!$B$41</definedName>
    <definedName name="Hyd_Label_Text250_linetype">'DATA EDITOR'!$D$41</definedName>
    <definedName name="Hyd_Label_Text250_lineweight">'DATA EDITOR'!$C$41</definedName>
    <definedName name="Hyd_Label_Text250_name">'DATA EDITOR'!$A$41</definedName>
    <definedName name="Hyd_Label_Text300_color">'DATA EDITOR'!$B$42</definedName>
    <definedName name="Hyd_Label_Text300_linetype">'DATA EDITOR'!$D$42</definedName>
    <definedName name="Hyd_Label_Text300_lineweight">'DATA EDITOR'!$C$42</definedName>
    <definedName name="Hyd_Label_Text300_name">'DATA EDITOR'!$A$42</definedName>
    <definedName name="Hyd_Label_Text350_color">'DATA EDITOR'!$B$43</definedName>
    <definedName name="Hyd_Label_Text350_linetype">'DATA EDITOR'!$D$43</definedName>
    <definedName name="Hyd_Label_Text350_lineweight">'DATA EDITOR'!$C$43</definedName>
    <definedName name="Hyd_Label_Text350_name">'DATA EDITOR'!$A$43</definedName>
    <definedName name="Hyd_Label_Text500_color">'DATA EDITOR'!$B$44</definedName>
    <definedName name="Hyd_Label_Text500_linetype">'DATA EDITOR'!$D$44</definedName>
    <definedName name="Hyd_Label_Text500_lineweight">'DATA EDITOR'!$C$44</definedName>
    <definedName name="Hyd_Label_Text500_name">'DATA EDITOR'!$A$44</definedName>
    <definedName name="Hyd_Label_Text700_color">'DATA EDITOR'!$B$45</definedName>
    <definedName name="Hyd_Label_Text700_linetype">'DATA EDITOR'!$D$45</definedName>
    <definedName name="Hyd_Label_Text700_lineweight">'DATA EDITOR'!$C$45</definedName>
    <definedName name="Hyd_Label_Text700_name">'DATA EDITOR'!$A$45</definedName>
    <definedName name="Hyd_Label_Water_CW_color">'DATA EDITOR'!$B$46</definedName>
    <definedName name="Hyd_Label_Water_CW_linetype">'DATA EDITOR'!$D$46</definedName>
    <definedName name="Hyd_Label_Water_CW_lineweight">'DATA EDITOR'!$C$46</definedName>
    <definedName name="Hyd_Label_Water_CW_name">'DATA EDITOR'!$A$46</definedName>
    <definedName name="Hyd_Label_Water_HW_color">'DATA EDITOR'!$B$48</definedName>
    <definedName name="Hyd_Label_Water_HW_linetype">'DATA EDITOR'!$D$48</definedName>
    <definedName name="Hyd_Label_Water_HW_lineweight">'DATA EDITOR'!$C$48</definedName>
    <definedName name="Hyd_Label_Water_HW_name">'DATA EDITOR'!$A$48</definedName>
    <definedName name="Hyd_Label_Water_HWR_color">'DATA EDITOR'!$B$49</definedName>
    <definedName name="Hyd_Label_Water_HWR_linetype">'DATA EDITOR'!$D$49</definedName>
    <definedName name="Hyd_Label_Water_HWR_lineweight">'DATA EDITOR'!$C$49</definedName>
    <definedName name="Hyd_Label_Water_HWR_name">'DATA EDITOR'!$A$49</definedName>
    <definedName name="Hyd_Label_Water_RE_color">'DATA EDITOR'!$B$47</definedName>
    <definedName name="Hyd_Label_Water_RE_linetype">'DATA EDITOR'!$D$47</definedName>
    <definedName name="Hyd_Label_Water_RE_lineweight">'DATA EDITOR'!$C$47</definedName>
    <definedName name="Hyd_Label_Water_RE_name">'DATA EDITOR'!$A$47</definedName>
    <definedName name="Hyd_Label_Water_WW_color">'DATA EDITOR'!$B$50</definedName>
    <definedName name="Hyd_Label_Water_WW_linetype">'DATA EDITOR'!$D$50</definedName>
    <definedName name="Hyd_Label_Water_WW_lineweight">'DATA EDITOR'!$C$50</definedName>
    <definedName name="Hyd_Label_Water_WW_name">'DATA EDITOR'!$A$50</definedName>
    <definedName name="Hyd_MLine_color">'DATA EDITOR'!$B$22</definedName>
    <definedName name="Hyd_MLine_linetype">'DATA EDITOR'!$D$22</definedName>
    <definedName name="Hyd_MLine_lineweight">'DATA EDITOR'!$C$22</definedName>
    <definedName name="Hyd_MLine_name">'DATA EDITOR'!$A$22</definedName>
    <definedName name="Hyd_Pipe_Fire_FH_color">'DATA EDITOR'!$B$15</definedName>
    <definedName name="Hyd_Pipe_Fire_FH_linetype">'DATA EDITOR'!$D$15</definedName>
    <definedName name="Hyd_Pipe_Fire_FH_lineweight">'DATA EDITOR'!$C$15</definedName>
    <definedName name="Hyd_Pipe_Fire_FH_name">'DATA EDITOR'!$A$15</definedName>
    <definedName name="Hyd_Pipe_Fire_FHR_color">'DATA EDITOR'!$B$16</definedName>
    <definedName name="Hyd_Pipe_Fire_FHR_linetype">'DATA EDITOR'!$D$16</definedName>
    <definedName name="Hyd_Pipe_Fire_FHR_lineweight">'DATA EDITOR'!$C$16</definedName>
    <definedName name="Hyd_Pipe_Fire_FHR_name">'DATA EDITOR'!$A$16</definedName>
    <definedName name="Hyd_Pipe_Fire_FS_color">'DATA EDITOR'!$B$17</definedName>
    <definedName name="Hyd_Pipe_Fire_FS_linetype">'DATA EDITOR'!$D$17</definedName>
    <definedName name="Hyd_Pipe_Fire_FS_lineweight">'DATA EDITOR'!$C$17</definedName>
    <definedName name="Hyd_Pipe_Fire_FS_name">'DATA EDITOR'!$A$17</definedName>
    <definedName name="Hyd_Pipe_Gas_G_color">'DATA EDITOR'!$B$7</definedName>
    <definedName name="Hyd_Pipe_Gas_G_linetype">'DATA EDITOR'!$D$7</definedName>
    <definedName name="Hyd_Pipe_Gas_G_lineweight">'DATA EDITOR'!$C$7</definedName>
    <definedName name="Hyd_Pipe_Gas_G_name">'DATA EDITOR'!$A$7</definedName>
    <definedName name="Hyd_Pipe_Sanitary_SD_color">'DATA EDITOR'!$B$10</definedName>
    <definedName name="Hyd_Pipe_Sanitary_SD_linetype">'DATA EDITOR'!$D$10</definedName>
    <definedName name="Hyd_Pipe_Sanitary_SD_lineweight">'DATA EDITOR'!$C$10</definedName>
    <definedName name="Hyd_Pipe_Sanitary_SD_name">'DATA EDITOR'!$A$10</definedName>
    <definedName name="Hyd_Pipe_Sanitary_SP_color">'DATA EDITOR'!$B$11</definedName>
    <definedName name="Hyd_Pipe_Sanitary_SP_linetype">'DATA EDITOR'!$D$11</definedName>
    <definedName name="Hyd_Pipe_Sanitary_SP_lineweight">'DATA EDITOR'!$C$11</definedName>
    <definedName name="Hyd_Pipe_Sanitary_SP_name">'DATA EDITOR'!$A$11</definedName>
    <definedName name="Hyd_Pipe_Sanitary_SW_color">'DATA EDITOR'!$B$12</definedName>
    <definedName name="Hyd_Pipe_Sanitary_SW_linetype">'DATA EDITOR'!$D$12</definedName>
    <definedName name="Hyd_Pipe_Sanitary_SW_lineweight">'DATA EDITOR'!$C$12</definedName>
    <definedName name="Hyd_Pipe_Sanitary_SW_name">'DATA EDITOR'!$A$12</definedName>
    <definedName name="Hyd_Pipe_Sanitary_TW_color">'DATA EDITOR'!$B$13</definedName>
    <definedName name="Hyd_Pipe_Sanitary_TW_linetype">'DATA EDITOR'!$D$13</definedName>
    <definedName name="Hyd_Pipe_Sanitary_TW_lineweight">'DATA EDITOR'!$C$13</definedName>
    <definedName name="Hyd_Pipe_Sanitary_TW_name">'DATA EDITOR'!$A$13</definedName>
    <definedName name="Hyd_Pipe_Sanitary_VP_color">'DATA EDITOR'!$B$14</definedName>
    <definedName name="Hyd_Pipe_Sanitary_VP_linetype">'DATA EDITOR'!$D$14</definedName>
    <definedName name="Hyd_Pipe_Sanitary_VP_lineweight">'DATA EDITOR'!$C$14</definedName>
    <definedName name="Hyd_Pipe_Sanitary_VP_name">'DATA EDITOR'!$A$14</definedName>
    <definedName name="Hyd_Pipe_Stormwater_SS_color">'DATA EDITOR'!$B$9</definedName>
    <definedName name="Hyd_Pipe_Stormwater_SS_linetype">'DATA EDITOR'!$D$9</definedName>
    <definedName name="Hyd_Pipe_Stormwater_SS_lineweight">'DATA EDITOR'!$C$9</definedName>
    <definedName name="Hyd_Pipe_Stormwater_SS_name">'DATA EDITOR'!$A$9</definedName>
    <definedName name="Hyd_Pipe_Stormwater_STW_color">'DATA EDITOR'!$B$8</definedName>
    <definedName name="Hyd_Pipe_Stormwater_STW_linetype">'DATA EDITOR'!$D$8</definedName>
    <definedName name="Hyd_Pipe_Stormwater_STW_lineweight">'DATA EDITOR'!$C$8</definedName>
    <definedName name="Hyd_Pipe_Stormwater_STW_name">'DATA EDITOR'!$A$8</definedName>
    <definedName name="Hyd_Pipe_Water_CW_color">'DATA EDITOR'!$B$2</definedName>
    <definedName name="Hyd_Pipe_Water_CW_linetype">'DATA EDITOR'!$D$2</definedName>
    <definedName name="Hyd_Pipe_Water_CW_lineweight">'DATA EDITOR'!$C$2</definedName>
    <definedName name="Hyd_Pipe_Water_CW_name">'DATA EDITOR'!$A$2</definedName>
    <definedName name="Hyd_Pipe_Water_HW_color">'DATA EDITOR'!$B$4</definedName>
    <definedName name="Hyd_Pipe_Water_HW_linetype">'DATA EDITOR'!$D$4</definedName>
    <definedName name="Hyd_Pipe_Water_HW_lineweight">'DATA EDITOR'!$C$4</definedName>
    <definedName name="Hyd_Pipe_Water_HW_name">'DATA EDITOR'!$A$4</definedName>
    <definedName name="Hyd_Pipe_Water_HWR_color">'DATA EDITOR'!$B$5</definedName>
    <definedName name="Hyd_Pipe_Water_HWR_linetype">'DATA EDITOR'!$D$5</definedName>
    <definedName name="Hyd_Pipe_Water_HWR_lineweight">'DATA EDITOR'!$C$5</definedName>
    <definedName name="Hyd_Pipe_Water_HWR_name">'DATA EDITOR'!$A$5</definedName>
    <definedName name="Hyd_Pipe_Water_RE_color">'DATA EDITOR'!$B$3</definedName>
    <definedName name="Hyd_Pipe_Water_RE_linetype">'DATA EDITOR'!$D$3</definedName>
    <definedName name="Hyd_Pipe_Water_RE_lineweight">'DATA EDITOR'!$C$3</definedName>
    <definedName name="Hyd_Pipe_Water_RE_name">'DATA EDITOR'!$A$3</definedName>
    <definedName name="Hyd_Pipe_Water_WW_color">'DATA EDITOR'!$B$6</definedName>
    <definedName name="Hyd_Pipe_Water_WW_linetype">'DATA EDITOR'!$D$6</definedName>
    <definedName name="Hyd_Pipe_Water_WW_lineweight">'DATA EDITOR'!$C$6</definedName>
    <definedName name="Hyd_Pipe_Water_WW_name">'DATA EDITOR'!$A$6</definedName>
    <definedName name="Hyd_Symbol_color">'DATA EDITOR'!$B$62</definedName>
    <definedName name="Hyd_Symbol_Fire_FH_color">'DATA EDITOR'!$B$82</definedName>
    <definedName name="Hyd_Symbol_Fire_FH_linetype">'DATA EDITOR'!$D$82</definedName>
    <definedName name="Hyd_Symbol_Fire_FH_lineweight">'DATA EDITOR'!$C$82</definedName>
    <definedName name="Hyd_Symbol_Fire_FH_name">'DATA EDITOR'!$A$82</definedName>
    <definedName name="Hyd_Symbol_Fire_FHR_color">'DATA EDITOR'!$B$83</definedName>
    <definedName name="Hyd_Symbol_Fire_FHR_linetype">'DATA EDITOR'!$D$83</definedName>
    <definedName name="Hyd_Symbol_Fire_FHR_lineweight">'DATA EDITOR'!$C$83</definedName>
    <definedName name="Hyd_Symbol_Fire_FHR_name">'DATA EDITOR'!$A$83</definedName>
    <definedName name="Hyd_Symbol_Fire_Fixture_color">'DATA EDITOR'!$B$68</definedName>
    <definedName name="Hyd_Symbol_Fire_Fixture_linetype">'DATA EDITOR'!$D$68</definedName>
    <definedName name="Hyd_Symbol_Fire_Fixture_lineweight">'DATA EDITOR'!$C$68</definedName>
    <definedName name="Hyd_Symbol_Fire_Fixture_name">'DATA EDITOR'!$A$68</definedName>
    <definedName name="Hyd_Symbol_Fire_FS_color">'DATA EDITOR'!$B$84</definedName>
    <definedName name="Hyd_Symbol_Fire_FS_linetype">'DATA EDITOR'!$D$84</definedName>
    <definedName name="Hyd_Symbol_Fire_FS_lineweight">'DATA EDITOR'!$C$84</definedName>
    <definedName name="Hyd_Symbol_Fire_FS_name">'DATA EDITOR'!$A$84</definedName>
    <definedName name="Hyd_Symbol_Gas_Fixture_color">'DATA EDITOR'!$B$66</definedName>
    <definedName name="Hyd_Symbol_Gas_Fixture_linetype">'DATA EDITOR'!$D$66</definedName>
    <definedName name="Hyd_Symbol_Gas_Fixture_lineweight">'DATA EDITOR'!$C$66</definedName>
    <definedName name="Hyd_Symbol_Gas_Fixture_name">'DATA EDITOR'!$A$66</definedName>
    <definedName name="Hyd_Symbol_Gas_G_color">'DATA EDITOR'!$B$74</definedName>
    <definedName name="Hyd_Symbol_Gas_G_linetype">'DATA EDITOR'!$D$74</definedName>
    <definedName name="Hyd_Symbol_Gas_G_lineweight">'DATA EDITOR'!$C$74</definedName>
    <definedName name="Hyd_Symbol_Gas_G_name">'DATA EDITOR'!$A$74</definedName>
    <definedName name="Hyd_Symbol_linetype">'DATA EDITOR'!$D$62</definedName>
    <definedName name="Hyd_Symbol_lineweight">'DATA EDITOR'!$C$62</definedName>
    <definedName name="Hyd_Symbol_name">'DATA EDITOR'!$A$62</definedName>
    <definedName name="Hyd_Symbol_Sanitary_Fixture_color">'DATA EDITOR'!$B$64</definedName>
    <definedName name="Hyd_Symbol_Sanitary_Fixture_linetype">'DATA EDITOR'!$D$64</definedName>
    <definedName name="Hyd_Symbol_Sanitary_Fixture_lineweight">'DATA EDITOR'!$C$64</definedName>
    <definedName name="Hyd_Symbol_Sanitary_Fixture_name">'DATA EDITOR'!$A$64</definedName>
    <definedName name="Hyd_Symbol_Sanitary_SD_color">'DATA EDITOR'!$B$77</definedName>
    <definedName name="Hyd_Symbol_Sanitary_SD_linetype">'DATA EDITOR'!$D$77</definedName>
    <definedName name="Hyd_Symbol_Sanitary_SD_lineweight">'DATA EDITOR'!$C$77</definedName>
    <definedName name="Hyd_Symbol_Sanitary_SD_name">'DATA EDITOR'!$A$77</definedName>
    <definedName name="Hyd_Symbol_Sanitary_SP_color">'DATA EDITOR'!$B$78</definedName>
    <definedName name="Hyd_Symbol_Sanitary_SP_linetype">'DATA EDITOR'!$D$78</definedName>
    <definedName name="Hyd_Symbol_Sanitary_SP_lineweight">'DATA EDITOR'!$C$78</definedName>
    <definedName name="Hyd_Symbol_Sanitary_SP_name">'DATA EDITOR'!$A$78</definedName>
    <definedName name="Hyd_Symbol_Sanitary_SW_color">'DATA EDITOR'!$B$79</definedName>
    <definedName name="Hyd_Symbol_Sanitary_SW_linetype">'DATA EDITOR'!$D$79</definedName>
    <definedName name="Hyd_Symbol_Sanitary_SW_lineweight">'DATA EDITOR'!$C$79</definedName>
    <definedName name="Hyd_Symbol_Sanitary_SW_name">'DATA EDITOR'!$A$79</definedName>
    <definedName name="Hyd_Symbol_Sanitary_TW_color">'DATA EDITOR'!$B$80</definedName>
    <definedName name="Hyd_Symbol_Sanitary_TW_linetype">'DATA EDITOR'!$D$80</definedName>
    <definedName name="Hyd_Symbol_Sanitary_TW_lineweight">'DATA EDITOR'!$C$80</definedName>
    <definedName name="Hyd_Symbol_Sanitary_TW_name">'DATA EDITOR'!$A$80</definedName>
    <definedName name="Hyd_Symbol_Sanitary_VP_color">'DATA EDITOR'!$B$81</definedName>
    <definedName name="Hyd_Symbol_Sanitary_VP_linetype">'DATA EDITOR'!$D$81</definedName>
    <definedName name="Hyd_Symbol_Sanitary_VP_lineweight">'DATA EDITOR'!$C$81</definedName>
    <definedName name="Hyd_Symbol_Sanitary_VP_name">'DATA EDITOR'!$A$81</definedName>
    <definedName name="Hyd_Symbol_Stormwater_Fixture_color">'DATA EDITOR'!$B$67</definedName>
    <definedName name="Hyd_Symbol_Stormwater_Fixture_linetype">'DATA EDITOR'!$D$67</definedName>
    <definedName name="Hyd_Symbol_Stormwater_Fixture_lineweight">'DATA EDITOR'!$C$67</definedName>
    <definedName name="Hyd_Symbol_Stormwater_Fixture_name">'DATA EDITOR'!$A$67</definedName>
    <definedName name="Hyd_Symbol_Stormwater_SS_color">'DATA EDITOR'!$B$76</definedName>
    <definedName name="Hyd_Symbol_Stormwater_SS_linetype">'DATA EDITOR'!$D$76</definedName>
    <definedName name="Hyd_Symbol_Stormwater_SS_lineweight">'DATA EDITOR'!$C$76</definedName>
    <definedName name="Hyd_Symbol_Stormwater_SS_name">'DATA EDITOR'!$A$76</definedName>
    <definedName name="Hyd_Symbol_Stormwater_STW_color">'DATA EDITOR'!$B$75</definedName>
    <definedName name="Hyd_Symbol_Stormwater_STW_linetype">'DATA EDITOR'!$D$75</definedName>
    <definedName name="Hyd_Symbol_Stormwater_STW_lineweight">'DATA EDITOR'!$C$75</definedName>
    <definedName name="Hyd_Symbol_Stormwater_STW_name">'DATA EDITOR'!$A$75</definedName>
    <definedName name="Hyd_Symbol_Valve_color">'DATA EDITOR'!$B$63</definedName>
    <definedName name="Hyd_Symbol_Valve_linetype">'DATA EDITOR'!$D$63</definedName>
    <definedName name="Hyd_Symbol_Valve_lineweight">'DATA EDITOR'!$C$63</definedName>
    <definedName name="Hyd_Symbol_Valve_name">'DATA EDITOR'!$A$63</definedName>
    <definedName name="Hyd_Symbol_Water_CW_color">'DATA EDITOR'!$B$69</definedName>
    <definedName name="Hyd_Symbol_Water_CW_linetype">'DATA EDITOR'!$D$69</definedName>
    <definedName name="Hyd_Symbol_Water_CW_lineweight">'DATA EDITOR'!$C$69</definedName>
    <definedName name="Hyd_Symbol_Water_CW_name">'DATA EDITOR'!$A$69</definedName>
    <definedName name="Hyd_Symbol_Water_Fixture_color">'DATA EDITOR'!$B$65</definedName>
    <definedName name="Hyd_Symbol_Water_Fixture_linetype">'DATA EDITOR'!$D$65</definedName>
    <definedName name="Hyd_Symbol_Water_Fixture_lineweight">'DATA EDITOR'!$C$65</definedName>
    <definedName name="Hyd_Symbol_Water_Fixture_name">'DATA EDITOR'!$A$65</definedName>
    <definedName name="Hyd_Symbol_Water_HW_color">'DATA EDITOR'!$B$71</definedName>
    <definedName name="Hyd_Symbol_Water_HW_linetype">'DATA EDITOR'!$D$71</definedName>
    <definedName name="Hyd_Symbol_Water_HW_lineweight">'DATA EDITOR'!$C$71</definedName>
    <definedName name="Hyd_Symbol_Water_HW_name">'DATA EDITOR'!$A$71</definedName>
    <definedName name="Hyd_Symbol_Water_HWR_color">'DATA EDITOR'!$B$72</definedName>
    <definedName name="Hyd_Symbol_Water_HWR_linetype">'DATA EDITOR'!$D$72</definedName>
    <definedName name="Hyd_Symbol_Water_HWR_lineweight">'DATA EDITOR'!$C$72</definedName>
    <definedName name="Hyd_Symbol_Water_HWR_name">'DATA EDITOR'!$A$72</definedName>
    <definedName name="Hyd_Symbol_Water_RE_color">'DATA EDITOR'!$B$70</definedName>
    <definedName name="Hyd_Symbol_Water_RE_linetype">'DATA EDITOR'!$D$70</definedName>
    <definedName name="Hyd_Symbol_Water_RE_lineweight">'DATA EDITOR'!$C$70</definedName>
    <definedName name="Hyd_Symbol_Water_RE_name">'DATA EDITOR'!$A$70</definedName>
    <definedName name="Hyd_Symbol_Water_WW_color">'DATA EDITOR'!$B$73</definedName>
    <definedName name="Hyd_Symbol_Water_WW_linetype">'DATA EDITOR'!$D$73</definedName>
    <definedName name="Hyd_Symbol_Water_WW_lineweight">'DATA EDITOR'!$C$73</definedName>
    <definedName name="Hyd_Symbol_Water_WW_name">'DATA EDITOR'!$A$73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4" i="5" l="1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D17" i="2"/>
  <c r="C17" i="2"/>
  <c r="B17" i="2"/>
  <c r="D16" i="2"/>
  <c r="C16" i="2"/>
  <c r="B16" i="2"/>
  <c r="D15" i="2"/>
  <c r="C15" i="2"/>
  <c r="B15" i="2"/>
  <c r="D14" i="2"/>
  <c r="C14" i="2"/>
  <c r="B14" i="2"/>
  <c r="D13" i="2"/>
  <c r="C13" i="2"/>
  <c r="B13" i="2"/>
  <c r="D12" i="2"/>
  <c r="C12" i="2"/>
  <c r="B12" i="2"/>
  <c r="D11" i="2"/>
  <c r="C11" i="2"/>
  <c r="B11" i="2"/>
  <c r="D10" i="2"/>
  <c r="C10" i="2"/>
  <c r="B10" i="2"/>
  <c r="D9" i="2"/>
  <c r="C9" i="2"/>
  <c r="B9" i="2"/>
  <c r="D8" i="2"/>
  <c r="C8" i="2"/>
  <c r="B8" i="2"/>
  <c r="D7" i="2"/>
  <c r="C7" i="2"/>
  <c r="B7" i="2"/>
  <c r="D6" i="2"/>
  <c r="C6" i="2"/>
  <c r="B6" i="2"/>
  <c r="D5" i="2"/>
  <c r="C5" i="2"/>
  <c r="B5" i="2"/>
  <c r="D4" i="2"/>
  <c r="C4" i="2"/>
  <c r="B4" i="2"/>
  <c r="D3" i="2"/>
  <c r="C3" i="2"/>
  <c r="B3" i="2"/>
  <c r="D2" i="2"/>
  <c r="C2" i="2"/>
  <c r="B2" i="2"/>
</calcChain>
</file>

<file path=xl/sharedStrings.xml><?xml version="1.0" encoding="utf-8"?>
<sst xmlns="http://schemas.openxmlformats.org/spreadsheetml/2006/main" count="445" uniqueCount="97">
  <si>
    <t>name</t>
  </si>
  <si>
    <t>color</t>
  </si>
  <si>
    <t>lineweight</t>
  </si>
  <si>
    <t>linetype</t>
  </si>
  <si>
    <t>Hyd_Pipe_Water_CW</t>
  </si>
  <si>
    <t>HYD_COLD_WATER</t>
  </si>
  <si>
    <t>Hyd_Pipe_Water_RE</t>
  </si>
  <si>
    <t>HYD_RE_USE</t>
  </si>
  <si>
    <t>Hyd_Pipe_Water_HW</t>
  </si>
  <si>
    <t>HYD_HOT_WATER</t>
  </si>
  <si>
    <t>Hyd_Pipe_Water_HWR</t>
  </si>
  <si>
    <t>HYD_HOT_WATER_RETURN</t>
  </si>
  <si>
    <t>Hyd_Pipe_Water_WW</t>
  </si>
  <si>
    <t>HYD_WARM_WATER</t>
  </si>
  <si>
    <t>Hyd_Pipe_Gas_G</t>
  </si>
  <si>
    <t>HYD_GAS</t>
  </si>
  <si>
    <t>Hyd_Pipe_Stormwater_STW</t>
  </si>
  <si>
    <t>HYD_STORMWATER</t>
  </si>
  <si>
    <t>Hyd_Pipe_Stormwater_SS</t>
  </si>
  <si>
    <t>HYD_SUB_SOIL</t>
  </si>
  <si>
    <t>Hyd_Pipe_Sanitary_SD</t>
  </si>
  <si>
    <t>Continuous</t>
  </si>
  <si>
    <t>Hyd_Pipe_Sanitary_SP</t>
  </si>
  <si>
    <t>Hyd_Pipe_Sanitary_SW</t>
  </si>
  <si>
    <t>Hyd_Pipe_Sanitary_TW</t>
  </si>
  <si>
    <t>Hyd_Pipe_Sanitary_VP</t>
  </si>
  <si>
    <t>HYD_VENT</t>
  </si>
  <si>
    <t>Hyd_Pipe_Fire_FH</t>
  </si>
  <si>
    <t>Hyd_Pipe_Fire_FHR</t>
  </si>
  <si>
    <t>Hyd_Pipe_Fire_FS</t>
  </si>
  <si>
    <t>Hyd_Comment_Info</t>
  </si>
  <si>
    <t>Hyd_Comment_Calc</t>
  </si>
  <si>
    <t>Hyd_Comment_Note</t>
  </si>
  <si>
    <t>Hyd_Comment_ToDo</t>
  </si>
  <si>
    <t>Hyd_MLine</t>
  </si>
  <si>
    <t>Hyd_Hatch_General</t>
  </si>
  <si>
    <t>Hyd_Hatch_Sound</t>
  </si>
  <si>
    <t>Hyd_Hatch_Conc</t>
  </si>
  <si>
    <t>Hyd_Hatch_Heat</t>
  </si>
  <si>
    <t>Hyd_Existing_x</t>
  </si>
  <si>
    <t>Hyd_Existing_e</t>
  </si>
  <si>
    <t>Hyd_Existing_w</t>
  </si>
  <si>
    <t>Hyd_Existing_s</t>
  </si>
  <si>
    <t>Hyd_Existing_g</t>
  </si>
  <si>
    <t>Hyd_Label</t>
  </si>
  <si>
    <t>Hyd_Label_Hex</t>
  </si>
  <si>
    <t>Hyd_Label_Rev</t>
  </si>
  <si>
    <t>Hyd_Label_Cloud</t>
  </si>
  <si>
    <t>Hyd_Label_Leader</t>
  </si>
  <si>
    <t>Hyd_Label_Dim</t>
  </si>
  <si>
    <t>Hyd_Label_General</t>
  </si>
  <si>
    <t>Hyd_Label_Detail</t>
  </si>
  <si>
    <t>Hyd_Label_Text200</t>
  </si>
  <si>
    <t>Hyd_Label_Text250</t>
  </si>
  <si>
    <t>Hyd_Label_Text300</t>
  </si>
  <si>
    <t>Hyd_Label_Text350</t>
  </si>
  <si>
    <t>Hyd_Label_Text500</t>
  </si>
  <si>
    <t>Hyd_Label_Text700</t>
  </si>
  <si>
    <t>Hyd_Label_Water_CW</t>
  </si>
  <si>
    <t>Hyd_Label_Water_RE</t>
  </si>
  <si>
    <t>Hyd_Label_Water_HW</t>
  </si>
  <si>
    <t>Hyd_Label_Water_HWR</t>
  </si>
  <si>
    <t>Hyd_Label_Water_WW</t>
  </si>
  <si>
    <t>Hyd_Label_Gas_G</t>
  </si>
  <si>
    <t>Hyd_Label_Stormwater_STW</t>
  </si>
  <si>
    <t>Hyd_Label_Stormwater_SS</t>
  </si>
  <si>
    <t>Hyd_Label_Sanitary_SD</t>
  </si>
  <si>
    <t>Hyd_Label_Sanitary_SP</t>
  </si>
  <si>
    <t>Hyd_Label_Sanitary_SW</t>
  </si>
  <si>
    <t>Hyd_Label_Sanitary_TW</t>
  </si>
  <si>
    <t>Hyd_Label_Sanitary_VP</t>
  </si>
  <si>
    <t>Hyd_Label_Fire_FH</t>
  </si>
  <si>
    <t>Hyd_Label_Fire_FHR</t>
  </si>
  <si>
    <t>Hyd_Label_Fire_FS</t>
  </si>
  <si>
    <t>Hyd_Symbol</t>
  </si>
  <si>
    <t>Hyd_Symbol_Valve</t>
  </si>
  <si>
    <t>Hyd_Symbol_Sanitary_Fixture</t>
  </si>
  <si>
    <t>Hyd_Symbol_Water_Fixture</t>
  </si>
  <si>
    <t>Hyd_Symbol_Gas_Fixture</t>
  </si>
  <si>
    <t>Hyd_Symbol_Stormwater_Fixture</t>
  </si>
  <si>
    <t>Hyd_Symbol_Fire_Fixture</t>
  </si>
  <si>
    <t>Hyd_Symbol_Water_CW</t>
  </si>
  <si>
    <t>Hyd_Symbol_Water_RE</t>
  </si>
  <si>
    <t>Hyd_Symbol_Water_HW</t>
  </si>
  <si>
    <t>Hyd_Symbol_Water_HWR</t>
  </si>
  <si>
    <t>Hyd_Symbol_Water_WW</t>
  </si>
  <si>
    <t>Hyd_Symbol_Gas_G</t>
  </si>
  <si>
    <t>Hyd_Symbol_Stormwater_STW</t>
  </si>
  <si>
    <t>Hyd_Symbol_Stormwater_SS</t>
  </si>
  <si>
    <t>Hyd_Symbol_Sanitary_SD</t>
  </si>
  <si>
    <t>Hyd_Symbol_Sanitary_SP</t>
  </si>
  <si>
    <t>Hyd_Symbol_Sanitary_SW</t>
  </si>
  <si>
    <t>Hyd_Symbol_Sanitary_TW</t>
  </si>
  <si>
    <t>Hyd_Symbol_Sanitary_VP</t>
  </si>
  <si>
    <t>Hyd_Symbol_Fire_FH</t>
  </si>
  <si>
    <t>Hyd_Symbol_Fire_FHR</t>
  </si>
  <si>
    <t>Hyd_Symbol_Fire_FS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</si>
</sst>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ayerTable" displayName="LayerTable" ref="A1:D84">
  <autoFilter ref="A1:D84" xr:uid="{00000000-0009-0000-0100-000001000000}"/>
  <tableColumns count="4">
    <tableColumn id="1" xr3:uid="{00000000-0010-0000-0000-000001000000}" name="name"/>
    <tableColumn id="2" xr3:uid="{00000000-0010-0000-0000-000002000000}" name="color"/>
    <tableColumn id="3" xr3:uid="{00000000-0010-0000-0000-000003000000}" name="lineweight"/>
    <tableColumn id="4" xr3:uid="{00000000-0010-0000-0000-000004000000}" name="linetyp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LayerTable_Pipes_View" displayName="LayerTable_Pipes_View" ref="A1:D17">
  <autoFilter ref="A1:D17" xr:uid="{00000000-0009-0000-0100-000002000000}"/>
  <tableColumns count="4">
    <tableColumn id="1" xr3:uid="{00000000-0010-0000-0100-000001000000}" name="name"/>
    <tableColumn id="2" xr3:uid="{00000000-0010-0000-0100-000002000000}" name="color"/>
    <tableColumn id="3" xr3:uid="{00000000-0010-0000-0100-000003000000}" name="lineweight"/>
    <tableColumn id="4" xr3:uid="{00000000-0010-0000-0100-000004000000}" name="linetyp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LayerTable_Colors_View" displayName="LayerTable_Colors_View" ref="A1:B84">
  <autoFilter ref="A1:B84" xr:uid="{00000000-0009-0000-0100-000003000000}"/>
  <tableColumns count="2">
    <tableColumn id="1" xr3:uid="{00000000-0010-0000-0200-000001000000}" name="name"/>
    <tableColumn id="2" xr3:uid="{00000000-0010-0000-0200-000002000000}" name="color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LayerTable_Lineweights_View" displayName="LayerTable_Lineweights_View" ref="A1:B84">
  <autoFilter ref="A1:B84" xr:uid="{00000000-0009-0000-0100-000004000000}"/>
  <tableColumns count="2">
    <tableColumn id="1" xr3:uid="{00000000-0010-0000-0300-000001000000}" name="name"/>
    <tableColumn id="2" xr3:uid="{00000000-0010-0000-0300-000002000000}" name="lineweight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LayerTable_Linetypes_View" displayName="LayerTable_Linetypes_View" ref="A1:B84">
  <autoFilter ref="A1:B84" xr:uid="{00000000-0009-0000-0100-000005000000}"/>
  <tableColumns count="2">
    <tableColumn id="1" xr3:uid="{00000000-0010-0000-0400-000001000000}" name="name"/>
    <tableColumn id="2" xr3:uid="{00000000-0010-0000-0400-000002000000}" name="linetyp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abSelected="1" workbookViewId="0">
      <pane ySplit="1" topLeftCell="A2" activePane="bottomLeft" state="frozen"/>
      <selection pane="bottomLeft" activeCell="D13" sqref="D13"/>
    </sheetView>
  </sheetViews>
  <sheetFormatPr defaultRowHeight="15" x14ac:dyDescent="0.25"/>
  <cols>
    <col min="1" max="1" width="40" customWidth="1"/>
    <col min="2" max="3" width="20" customWidth="1"/>
    <col min="4" max="4" width="40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4</v>
      </c>
      <c r="B2">
        <v>10</v>
      </c>
      <c r="C2">
        <v>50</v>
      </c>
      <c r="D2" t="s">
        <v>5</v>
      </c>
    </row>
    <row r="3" spans="1:4" x14ac:dyDescent="0.25">
      <c r="A3" t="s">
        <v>6</v>
      </c>
      <c r="B3">
        <v>90</v>
      </c>
      <c r="C3">
        <v>50</v>
      </c>
      <c r="D3" t="s">
        <v>7</v>
      </c>
    </row>
    <row r="4" spans="1:4" x14ac:dyDescent="0.25">
      <c r="A4" t="s">
        <v>8</v>
      </c>
      <c r="B4">
        <v>10</v>
      </c>
      <c r="C4">
        <v>50</v>
      </c>
      <c r="D4" t="s">
        <v>9</v>
      </c>
    </row>
    <row r="5" spans="1:4" x14ac:dyDescent="0.25">
      <c r="A5" t="s">
        <v>10</v>
      </c>
      <c r="B5">
        <v>20</v>
      </c>
      <c r="C5">
        <v>50</v>
      </c>
      <c r="D5" t="s">
        <v>11</v>
      </c>
    </row>
    <row r="6" spans="1:4" x14ac:dyDescent="0.25">
      <c r="A6" t="s">
        <v>12</v>
      </c>
      <c r="B6">
        <v>40</v>
      </c>
      <c r="C6">
        <v>50</v>
      </c>
      <c r="D6" t="s">
        <v>13</v>
      </c>
    </row>
    <row r="7" spans="1:4" x14ac:dyDescent="0.25">
      <c r="A7" t="s">
        <v>14</v>
      </c>
      <c r="B7">
        <v>60</v>
      </c>
      <c r="C7">
        <v>50</v>
      </c>
      <c r="D7" t="s">
        <v>15</v>
      </c>
    </row>
    <row r="8" spans="1:4" x14ac:dyDescent="0.25">
      <c r="A8" t="s">
        <v>16</v>
      </c>
      <c r="B8">
        <v>110</v>
      </c>
      <c r="C8">
        <v>70</v>
      </c>
      <c r="D8" t="s">
        <v>17</v>
      </c>
    </row>
    <row r="9" spans="1:4" x14ac:dyDescent="0.25">
      <c r="A9" t="s">
        <v>18</v>
      </c>
      <c r="B9">
        <v>120</v>
      </c>
      <c r="C9">
        <v>70</v>
      </c>
      <c r="D9" t="s">
        <v>19</v>
      </c>
    </row>
    <row r="10" spans="1:4" x14ac:dyDescent="0.25">
      <c r="A10" t="s">
        <v>20</v>
      </c>
      <c r="B10">
        <v>160</v>
      </c>
      <c r="C10">
        <v>70</v>
      </c>
      <c r="D10" t="s">
        <v>21</v>
      </c>
    </row>
    <row r="11" spans="1:4" x14ac:dyDescent="0.25">
      <c r="A11" t="s">
        <v>22</v>
      </c>
      <c r="B11">
        <v>170</v>
      </c>
      <c r="C11">
        <v>70</v>
      </c>
      <c r="D11" t="s">
        <v>21</v>
      </c>
    </row>
    <row r="12" spans="1:4" x14ac:dyDescent="0.25">
      <c r="A12" t="s">
        <v>23</v>
      </c>
      <c r="B12">
        <v>180</v>
      </c>
      <c r="C12">
        <v>70</v>
      </c>
      <c r="D12" t="s">
        <v>21</v>
      </c>
    </row>
    <row r="13" spans="1:4" x14ac:dyDescent="0.25">
      <c r="A13" t="s">
        <v>24</v>
      </c>
      <c r="B13">
        <v>190</v>
      </c>
      <c r="C13">
        <v>70</v>
      </c>
      <c r="D13" t="s">
        <v>21</v>
      </c>
    </row>
    <row r="14" spans="1:4" x14ac:dyDescent="0.25">
      <c r="A14" t="s">
        <v>25</v>
      </c>
      <c r="B14">
        <v>200</v>
      </c>
      <c r="C14">
        <v>70</v>
      </c>
      <c r="D14" t="s">
        <v>26</v>
      </c>
    </row>
    <row r="15" spans="1:4" x14ac:dyDescent="0.25">
      <c r="A15" t="s">
        <v>27</v>
      </c>
      <c r="B15">
        <v>220</v>
      </c>
      <c r="C15">
        <v>50</v>
      </c>
      <c r="D15" t="s">
        <v>21</v>
      </c>
    </row>
    <row r="16" spans="1:4" x14ac:dyDescent="0.25">
      <c r="A16" t="s">
        <v>28</v>
      </c>
      <c r="B16">
        <v>230</v>
      </c>
      <c r="C16">
        <v>50</v>
      </c>
      <c r="D16" t="s">
        <v>21</v>
      </c>
    </row>
    <row r="17" spans="1:4" x14ac:dyDescent="0.25">
      <c r="A17" t="s">
        <v>29</v>
      </c>
      <c r="B17">
        <v>240</v>
      </c>
      <c r="C17">
        <v>50</v>
      </c>
      <c r="D17" t="s">
        <v>21</v>
      </c>
    </row>
    <row r="18" spans="1:4" x14ac:dyDescent="0.25">
      <c r="A18" t="s">
        <v>30</v>
      </c>
      <c r="B18">
        <v>10</v>
      </c>
      <c r="C18">
        <v>25</v>
      </c>
      <c r="D18" t="s">
        <v>21</v>
      </c>
    </row>
    <row r="19" spans="1:4" x14ac:dyDescent="0.25">
      <c r="A19" t="s">
        <v>31</v>
      </c>
      <c r="B19">
        <v>10</v>
      </c>
      <c r="C19">
        <v>25</v>
      </c>
      <c r="D19" t="s">
        <v>21</v>
      </c>
    </row>
    <row r="20" spans="1:4" x14ac:dyDescent="0.25">
      <c r="A20" t="s">
        <v>32</v>
      </c>
      <c r="B20">
        <v>10</v>
      </c>
      <c r="C20">
        <v>25</v>
      </c>
      <c r="D20" t="s">
        <v>21</v>
      </c>
    </row>
    <row r="21" spans="1:4" x14ac:dyDescent="0.25">
      <c r="A21" t="s">
        <v>33</v>
      </c>
      <c r="B21">
        <v>10</v>
      </c>
      <c r="C21">
        <v>25</v>
      </c>
      <c r="D21" t="s">
        <v>21</v>
      </c>
    </row>
    <row r="22" spans="1:4" x14ac:dyDescent="0.25">
      <c r="A22" t="s">
        <v>34</v>
      </c>
      <c r="B22">
        <v>7</v>
      </c>
      <c r="C22">
        <v>25</v>
      </c>
      <c r="D22" t="s">
        <v>21</v>
      </c>
    </row>
    <row r="23" spans="1:4" x14ac:dyDescent="0.25">
      <c r="A23" t="s">
        <v>35</v>
      </c>
      <c r="B23">
        <v>7</v>
      </c>
      <c r="C23">
        <v>25</v>
      </c>
      <c r="D23" t="s">
        <v>21</v>
      </c>
    </row>
    <row r="24" spans="1:4" x14ac:dyDescent="0.25">
      <c r="A24" t="s">
        <v>36</v>
      </c>
      <c r="B24">
        <v>7</v>
      </c>
      <c r="C24">
        <v>25</v>
      </c>
      <c r="D24" t="s">
        <v>21</v>
      </c>
    </row>
    <row r="25" spans="1:4" x14ac:dyDescent="0.25">
      <c r="A25" t="s">
        <v>37</v>
      </c>
      <c r="B25">
        <v>7</v>
      </c>
      <c r="C25">
        <v>25</v>
      </c>
      <c r="D25" t="s">
        <v>21</v>
      </c>
    </row>
    <row r="26" spans="1:4" x14ac:dyDescent="0.25">
      <c r="A26" t="s">
        <v>38</v>
      </c>
      <c r="B26">
        <v>7</v>
      </c>
      <c r="C26">
        <v>25</v>
      </c>
      <c r="D26" t="s">
        <v>21</v>
      </c>
    </row>
    <row r="27" spans="1:4" x14ac:dyDescent="0.25">
      <c r="A27" t="s">
        <v>39</v>
      </c>
      <c r="B27">
        <v>7</v>
      </c>
      <c r="C27">
        <v>25</v>
      </c>
      <c r="D27" t="s">
        <v>39</v>
      </c>
    </row>
    <row r="28" spans="1:4" x14ac:dyDescent="0.25">
      <c r="A28" t="s">
        <v>40</v>
      </c>
      <c r="B28">
        <v>7</v>
      </c>
      <c r="C28">
        <v>25</v>
      </c>
      <c r="D28" t="s">
        <v>40</v>
      </c>
    </row>
    <row r="29" spans="1:4" x14ac:dyDescent="0.25">
      <c r="A29" t="s">
        <v>41</v>
      </c>
      <c r="B29">
        <v>7</v>
      </c>
      <c r="C29">
        <v>25</v>
      </c>
      <c r="D29" t="s">
        <v>41</v>
      </c>
    </row>
    <row r="30" spans="1:4" x14ac:dyDescent="0.25">
      <c r="A30" t="s">
        <v>42</v>
      </c>
      <c r="B30">
        <v>7</v>
      </c>
      <c r="C30">
        <v>25</v>
      </c>
      <c r="D30" t="s">
        <v>42</v>
      </c>
    </row>
    <row r="31" spans="1:4" x14ac:dyDescent="0.25">
      <c r="A31" t="s">
        <v>43</v>
      </c>
      <c r="B31">
        <v>7</v>
      </c>
      <c r="C31">
        <v>25</v>
      </c>
      <c r="D31" t="s">
        <v>43</v>
      </c>
    </row>
    <row r="32" spans="1:4" x14ac:dyDescent="0.25">
      <c r="A32" t="s">
        <v>44</v>
      </c>
      <c r="B32">
        <v>7</v>
      </c>
      <c r="C32">
        <v>25</v>
      </c>
      <c r="D32" t="s">
        <v>21</v>
      </c>
    </row>
    <row r="33" spans="1:4" x14ac:dyDescent="0.25">
      <c r="A33" t="s">
        <v>45</v>
      </c>
      <c r="B33">
        <v>7</v>
      </c>
      <c r="C33">
        <v>25</v>
      </c>
      <c r="D33" t="s">
        <v>21</v>
      </c>
    </row>
    <row r="34" spans="1:4" x14ac:dyDescent="0.25">
      <c r="A34" t="s">
        <v>46</v>
      </c>
      <c r="B34">
        <v>7</v>
      </c>
      <c r="C34">
        <v>35</v>
      </c>
      <c r="D34" t="s">
        <v>21</v>
      </c>
    </row>
    <row r="35" spans="1:4" x14ac:dyDescent="0.25">
      <c r="A35" t="s">
        <v>47</v>
      </c>
      <c r="B35">
        <v>7</v>
      </c>
      <c r="C35">
        <v>35</v>
      </c>
      <c r="D35" t="s">
        <v>21</v>
      </c>
    </row>
    <row r="36" spans="1:4" x14ac:dyDescent="0.25">
      <c r="A36" t="s">
        <v>48</v>
      </c>
      <c r="B36">
        <v>7</v>
      </c>
      <c r="C36">
        <v>25</v>
      </c>
      <c r="D36" t="s">
        <v>21</v>
      </c>
    </row>
    <row r="37" spans="1:4" x14ac:dyDescent="0.25">
      <c r="A37" t="s">
        <v>49</v>
      </c>
      <c r="B37">
        <v>7</v>
      </c>
      <c r="C37">
        <v>25</v>
      </c>
      <c r="D37" t="s">
        <v>21</v>
      </c>
    </row>
    <row r="38" spans="1:4" x14ac:dyDescent="0.25">
      <c r="A38" t="s">
        <v>50</v>
      </c>
      <c r="B38">
        <v>7</v>
      </c>
      <c r="C38">
        <v>25</v>
      </c>
      <c r="D38" t="s">
        <v>21</v>
      </c>
    </row>
    <row r="39" spans="1:4" x14ac:dyDescent="0.25">
      <c r="A39" t="s">
        <v>51</v>
      </c>
      <c r="B39">
        <v>7</v>
      </c>
      <c r="C39">
        <v>25</v>
      </c>
      <c r="D39" t="s">
        <v>21</v>
      </c>
    </row>
    <row r="40" spans="1:4" x14ac:dyDescent="0.25">
      <c r="A40" t="s">
        <v>52</v>
      </c>
      <c r="B40">
        <v>7</v>
      </c>
      <c r="C40">
        <v>25</v>
      </c>
      <c r="D40" t="s">
        <v>21</v>
      </c>
    </row>
    <row r="41" spans="1:4" x14ac:dyDescent="0.25">
      <c r="A41" t="s">
        <v>53</v>
      </c>
      <c r="B41">
        <v>7</v>
      </c>
      <c r="C41">
        <v>25</v>
      </c>
      <c r="D41" t="s">
        <v>21</v>
      </c>
    </row>
    <row r="42" spans="1:4" x14ac:dyDescent="0.25">
      <c r="A42" t="s">
        <v>54</v>
      </c>
      <c r="B42">
        <v>7</v>
      </c>
      <c r="C42">
        <v>25</v>
      </c>
      <c r="D42" t="s">
        <v>21</v>
      </c>
    </row>
    <row r="43" spans="1:4" x14ac:dyDescent="0.25">
      <c r="A43" t="s">
        <v>55</v>
      </c>
      <c r="B43">
        <v>7</v>
      </c>
      <c r="C43">
        <v>25</v>
      </c>
      <c r="D43" t="s">
        <v>21</v>
      </c>
    </row>
    <row r="44" spans="1:4" x14ac:dyDescent="0.25">
      <c r="A44" t="s">
        <v>56</v>
      </c>
      <c r="B44">
        <v>7</v>
      </c>
      <c r="C44">
        <v>25</v>
      </c>
      <c r="D44" t="s">
        <v>21</v>
      </c>
    </row>
    <row r="45" spans="1:4" x14ac:dyDescent="0.25">
      <c r="A45" t="s">
        <v>57</v>
      </c>
      <c r="B45">
        <v>7</v>
      </c>
      <c r="C45">
        <v>25</v>
      </c>
      <c r="D45" t="s">
        <v>21</v>
      </c>
    </row>
    <row r="46" spans="1:4" x14ac:dyDescent="0.25">
      <c r="A46" t="s">
        <v>58</v>
      </c>
      <c r="B46">
        <v>7</v>
      </c>
      <c r="C46">
        <v>25</v>
      </c>
      <c r="D46" t="s">
        <v>21</v>
      </c>
    </row>
    <row r="47" spans="1:4" x14ac:dyDescent="0.25">
      <c r="A47" t="s">
        <v>59</v>
      </c>
      <c r="B47">
        <v>7</v>
      </c>
      <c r="C47">
        <v>25</v>
      </c>
      <c r="D47" t="s">
        <v>21</v>
      </c>
    </row>
    <row r="48" spans="1:4" x14ac:dyDescent="0.25">
      <c r="A48" t="s">
        <v>60</v>
      </c>
      <c r="B48">
        <v>7</v>
      </c>
      <c r="C48">
        <v>25</v>
      </c>
      <c r="D48" t="s">
        <v>21</v>
      </c>
    </row>
    <row r="49" spans="1:4" x14ac:dyDescent="0.25">
      <c r="A49" t="s">
        <v>61</v>
      </c>
      <c r="B49">
        <v>7</v>
      </c>
      <c r="C49">
        <v>25</v>
      </c>
      <c r="D49" t="s">
        <v>21</v>
      </c>
    </row>
    <row r="50" spans="1:4" x14ac:dyDescent="0.25">
      <c r="A50" t="s">
        <v>62</v>
      </c>
      <c r="B50">
        <v>7</v>
      </c>
      <c r="C50">
        <v>25</v>
      </c>
      <c r="D50" t="s">
        <v>21</v>
      </c>
    </row>
    <row r="51" spans="1:4" x14ac:dyDescent="0.25">
      <c r="A51" t="s">
        <v>63</v>
      </c>
      <c r="B51">
        <v>7</v>
      </c>
      <c r="C51">
        <v>25</v>
      </c>
      <c r="D51" t="s">
        <v>21</v>
      </c>
    </row>
    <row r="52" spans="1:4" x14ac:dyDescent="0.25">
      <c r="A52" t="s">
        <v>64</v>
      </c>
      <c r="B52">
        <v>7</v>
      </c>
      <c r="C52">
        <v>25</v>
      </c>
      <c r="D52" t="s">
        <v>21</v>
      </c>
    </row>
    <row r="53" spans="1:4" x14ac:dyDescent="0.25">
      <c r="A53" t="s">
        <v>65</v>
      </c>
      <c r="B53">
        <v>7</v>
      </c>
      <c r="C53">
        <v>25</v>
      </c>
      <c r="D53" t="s">
        <v>21</v>
      </c>
    </row>
    <row r="54" spans="1:4" x14ac:dyDescent="0.25">
      <c r="A54" t="s">
        <v>66</v>
      </c>
      <c r="B54">
        <v>7</v>
      </c>
      <c r="C54">
        <v>25</v>
      </c>
      <c r="D54" t="s">
        <v>21</v>
      </c>
    </row>
    <row r="55" spans="1:4" x14ac:dyDescent="0.25">
      <c r="A55" t="s">
        <v>67</v>
      </c>
      <c r="B55">
        <v>7</v>
      </c>
      <c r="C55">
        <v>25</v>
      </c>
      <c r="D55" t="s">
        <v>21</v>
      </c>
    </row>
    <row r="56" spans="1:4" x14ac:dyDescent="0.25">
      <c r="A56" t="s">
        <v>68</v>
      </c>
      <c r="B56">
        <v>7</v>
      </c>
      <c r="C56">
        <v>25</v>
      </c>
      <c r="D56" t="s">
        <v>21</v>
      </c>
    </row>
    <row r="57" spans="1:4" x14ac:dyDescent="0.25">
      <c r="A57" t="s">
        <v>69</v>
      </c>
      <c r="B57">
        <v>7</v>
      </c>
      <c r="C57">
        <v>25</v>
      </c>
      <c r="D57" t="s">
        <v>21</v>
      </c>
    </row>
    <row r="58" spans="1:4" x14ac:dyDescent="0.25">
      <c r="A58" t="s">
        <v>70</v>
      </c>
      <c r="B58">
        <v>7</v>
      </c>
      <c r="C58">
        <v>25</v>
      </c>
      <c r="D58" t="s">
        <v>21</v>
      </c>
    </row>
    <row r="59" spans="1:4" x14ac:dyDescent="0.25">
      <c r="A59" t="s">
        <v>71</v>
      </c>
      <c r="B59">
        <v>7</v>
      </c>
      <c r="C59">
        <v>25</v>
      </c>
      <c r="D59" t="s">
        <v>21</v>
      </c>
    </row>
    <row r="60" spans="1:4" x14ac:dyDescent="0.25">
      <c r="A60" t="s">
        <v>72</v>
      </c>
      <c r="B60">
        <v>7</v>
      </c>
      <c r="C60">
        <v>25</v>
      </c>
      <c r="D60" t="s">
        <v>21</v>
      </c>
    </row>
    <row r="61" spans="1:4" x14ac:dyDescent="0.25">
      <c r="A61" t="s">
        <v>73</v>
      </c>
      <c r="B61">
        <v>7</v>
      </c>
      <c r="C61">
        <v>25</v>
      </c>
      <c r="D61" t="s">
        <v>21</v>
      </c>
    </row>
    <row r="62" spans="1:4" x14ac:dyDescent="0.25">
      <c r="A62" t="s">
        <v>74</v>
      </c>
      <c r="B62">
        <v>7</v>
      </c>
      <c r="C62">
        <v>25</v>
      </c>
      <c r="D62" t="s">
        <v>21</v>
      </c>
    </row>
    <row r="63" spans="1:4" x14ac:dyDescent="0.25">
      <c r="A63" t="s">
        <v>75</v>
      </c>
      <c r="B63">
        <v>7</v>
      </c>
      <c r="C63">
        <v>25</v>
      </c>
      <c r="D63" t="s">
        <v>21</v>
      </c>
    </row>
    <row r="64" spans="1:4" x14ac:dyDescent="0.25">
      <c r="A64" t="s">
        <v>76</v>
      </c>
      <c r="B64">
        <v>7</v>
      </c>
      <c r="C64">
        <v>25</v>
      </c>
      <c r="D64" t="s">
        <v>21</v>
      </c>
    </row>
    <row r="65" spans="1:4" x14ac:dyDescent="0.25">
      <c r="A65" t="s">
        <v>77</v>
      </c>
      <c r="B65">
        <v>7</v>
      </c>
      <c r="C65">
        <v>25</v>
      </c>
      <c r="D65" t="s">
        <v>21</v>
      </c>
    </row>
    <row r="66" spans="1:4" x14ac:dyDescent="0.25">
      <c r="A66" t="s">
        <v>78</v>
      </c>
      <c r="B66">
        <v>7</v>
      </c>
      <c r="C66">
        <v>25</v>
      </c>
      <c r="D66" t="s">
        <v>21</v>
      </c>
    </row>
    <row r="67" spans="1:4" x14ac:dyDescent="0.25">
      <c r="A67" t="s">
        <v>79</v>
      </c>
      <c r="B67">
        <v>7</v>
      </c>
      <c r="C67">
        <v>25</v>
      </c>
      <c r="D67" t="s">
        <v>21</v>
      </c>
    </row>
    <row r="68" spans="1:4" x14ac:dyDescent="0.25">
      <c r="A68" t="s">
        <v>80</v>
      </c>
      <c r="B68">
        <v>7</v>
      </c>
      <c r="C68">
        <v>25</v>
      </c>
      <c r="D68" t="s">
        <v>21</v>
      </c>
    </row>
    <row r="69" spans="1:4" x14ac:dyDescent="0.25">
      <c r="A69" t="s">
        <v>81</v>
      </c>
      <c r="B69">
        <v>7</v>
      </c>
      <c r="C69">
        <v>25</v>
      </c>
      <c r="D69" t="s">
        <v>21</v>
      </c>
    </row>
    <row r="70" spans="1:4" x14ac:dyDescent="0.25">
      <c r="A70" t="s">
        <v>82</v>
      </c>
      <c r="B70">
        <v>7</v>
      </c>
      <c r="C70">
        <v>25</v>
      </c>
      <c r="D70" t="s">
        <v>21</v>
      </c>
    </row>
    <row r="71" spans="1:4" x14ac:dyDescent="0.25">
      <c r="A71" t="s">
        <v>83</v>
      </c>
      <c r="B71">
        <v>7</v>
      </c>
      <c r="C71">
        <v>25</v>
      </c>
      <c r="D71" t="s">
        <v>21</v>
      </c>
    </row>
    <row r="72" spans="1:4" x14ac:dyDescent="0.25">
      <c r="A72" t="s">
        <v>84</v>
      </c>
      <c r="B72">
        <v>7</v>
      </c>
      <c r="C72">
        <v>25</v>
      </c>
      <c r="D72" t="s">
        <v>21</v>
      </c>
    </row>
    <row r="73" spans="1:4" x14ac:dyDescent="0.25">
      <c r="A73" t="s">
        <v>85</v>
      </c>
      <c r="B73">
        <v>7</v>
      </c>
      <c r="C73">
        <v>25</v>
      </c>
      <c r="D73" t="s">
        <v>21</v>
      </c>
    </row>
    <row r="74" spans="1:4" x14ac:dyDescent="0.25">
      <c r="A74" t="s">
        <v>86</v>
      </c>
      <c r="B74">
        <v>7</v>
      </c>
      <c r="C74">
        <v>25</v>
      </c>
      <c r="D74" t="s">
        <v>21</v>
      </c>
    </row>
    <row r="75" spans="1:4" x14ac:dyDescent="0.25">
      <c r="A75" t="s">
        <v>87</v>
      </c>
      <c r="B75">
        <v>7</v>
      </c>
      <c r="C75">
        <v>25</v>
      </c>
      <c r="D75" t="s">
        <v>21</v>
      </c>
    </row>
    <row r="76" spans="1:4" x14ac:dyDescent="0.25">
      <c r="A76" t="s">
        <v>88</v>
      </c>
      <c r="B76">
        <v>7</v>
      </c>
      <c r="C76">
        <v>25</v>
      </c>
      <c r="D76" t="s">
        <v>21</v>
      </c>
    </row>
    <row r="77" spans="1:4" x14ac:dyDescent="0.25">
      <c r="A77" t="s">
        <v>89</v>
      </c>
      <c r="B77">
        <v>7</v>
      </c>
      <c r="C77">
        <v>25</v>
      </c>
      <c r="D77" t="s">
        <v>21</v>
      </c>
    </row>
    <row r="78" spans="1:4" x14ac:dyDescent="0.25">
      <c r="A78" t="s">
        <v>90</v>
      </c>
      <c r="B78">
        <v>7</v>
      </c>
      <c r="C78">
        <v>25</v>
      </c>
      <c r="D78" t="s">
        <v>21</v>
      </c>
    </row>
    <row r="79" spans="1:4" x14ac:dyDescent="0.25">
      <c r="A79" t="s">
        <v>91</v>
      </c>
      <c r="B79">
        <v>7</v>
      </c>
      <c r="C79">
        <v>25</v>
      </c>
      <c r="D79" t="s">
        <v>21</v>
      </c>
    </row>
    <row r="80" spans="1:4" x14ac:dyDescent="0.25">
      <c r="A80" t="s">
        <v>92</v>
      </c>
      <c r="B80">
        <v>7</v>
      </c>
      <c r="C80">
        <v>25</v>
      </c>
      <c r="D80" t="s">
        <v>21</v>
      </c>
    </row>
    <row r="81" spans="1:4" x14ac:dyDescent="0.25">
      <c r="A81" t="s">
        <v>93</v>
      </c>
      <c r="B81">
        <v>7</v>
      </c>
      <c r="C81">
        <v>25</v>
      </c>
      <c r="D81" t="s">
        <v>21</v>
      </c>
    </row>
    <row r="82" spans="1:4" x14ac:dyDescent="0.25">
      <c r="A82" t="s">
        <v>94</v>
      </c>
      <c r="B82">
        <v>7</v>
      </c>
      <c r="C82">
        <v>25</v>
      </c>
      <c r="D82" t="s">
        <v>21</v>
      </c>
    </row>
    <row r="83" spans="1:4" x14ac:dyDescent="0.25">
      <c r="A83" t="s">
        <v>95</v>
      </c>
      <c r="B83">
        <v>7</v>
      </c>
      <c r="C83">
        <v>25</v>
      </c>
      <c r="D83" t="s">
        <v>21</v>
      </c>
    </row>
    <row r="84" spans="1:4" x14ac:dyDescent="0.25">
      <c r="A84" t="s">
        <v>96</v>
      </c>
      <c r="B84">
        <v>7</v>
      </c>
      <c r="C84">
        <v>25</v>
      </c>
      <c r="D84" t="s">
        <v>21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40" customWidth="1"/>
    <col min="2" max="3" width="20" customWidth="1"/>
    <col min="4" max="4" width="40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f>Hyd_Pipe_Water_CW_color</f>
        <v>10</v>
      </c>
      <c r="C2">
        <f>Hyd_Pipe_Water_CW_lineweight</f>
        <v>50</v>
      </c>
      <c r="D2" t="str">
        <f>Hyd_Pipe_Water_CW_linetype</f>
        <v>HYD_COLD_WATER</v>
      </c>
    </row>
    <row r="3" spans="1:4" x14ac:dyDescent="0.25">
      <c r="A3" t="s">
        <v>6</v>
      </c>
      <c r="B3">
        <f>Hyd_Pipe_Water_RE_color</f>
        <v>90</v>
      </c>
      <c r="C3">
        <f>Hyd_Pipe_Water_RE_lineweight</f>
        <v>50</v>
      </c>
      <c r="D3" t="str">
        <f>Hyd_Pipe_Water_RE_linetype</f>
        <v>HYD_RE_USE</v>
      </c>
    </row>
    <row r="4" spans="1:4" x14ac:dyDescent="0.25">
      <c r="A4" t="s">
        <v>8</v>
      </c>
      <c r="B4">
        <f>Hyd_Pipe_Water_HW_color</f>
        <v>10</v>
      </c>
      <c r="C4">
        <f>Hyd_Pipe_Water_HW_lineweight</f>
        <v>50</v>
      </c>
      <c r="D4" t="str">
        <f>Hyd_Pipe_Water_HW_linetype</f>
        <v>HYD_HOT_WATER</v>
      </c>
    </row>
    <row r="5" spans="1:4" x14ac:dyDescent="0.25">
      <c r="A5" t="s">
        <v>10</v>
      </c>
      <c r="B5">
        <f>Hyd_Pipe_Water_HWR_color</f>
        <v>20</v>
      </c>
      <c r="C5">
        <f>Hyd_Pipe_Water_HWR_lineweight</f>
        <v>50</v>
      </c>
      <c r="D5" t="str">
        <f>Hyd_Pipe_Water_HWR_linetype</f>
        <v>HYD_HOT_WATER_RETURN</v>
      </c>
    </row>
    <row r="6" spans="1:4" x14ac:dyDescent="0.25">
      <c r="A6" t="s">
        <v>12</v>
      </c>
      <c r="B6">
        <f>Hyd_Pipe_Water_WW_color</f>
        <v>40</v>
      </c>
      <c r="C6">
        <f>Hyd_Pipe_Water_WW_lineweight</f>
        <v>50</v>
      </c>
      <c r="D6" t="str">
        <f>Hyd_Pipe_Water_WW_linetype</f>
        <v>HYD_WARM_WATER</v>
      </c>
    </row>
    <row r="7" spans="1:4" x14ac:dyDescent="0.25">
      <c r="A7" t="s">
        <v>14</v>
      </c>
      <c r="B7">
        <f>Hyd_Pipe_Gas_G_color</f>
        <v>60</v>
      </c>
      <c r="C7">
        <f>Hyd_Pipe_Gas_G_lineweight</f>
        <v>50</v>
      </c>
      <c r="D7" t="str">
        <f>Hyd_Pipe_Gas_G_linetype</f>
        <v>HYD_GAS</v>
      </c>
    </row>
    <row r="8" spans="1:4" x14ac:dyDescent="0.25">
      <c r="A8" t="s">
        <v>16</v>
      </c>
      <c r="B8">
        <f>Hyd_Pipe_Stormwater_STW_color</f>
        <v>110</v>
      </c>
      <c r="C8">
        <f>Hyd_Pipe_Stormwater_STW_lineweight</f>
        <v>70</v>
      </c>
      <c r="D8" t="str">
        <f>Hyd_Pipe_Stormwater_STW_linetype</f>
        <v>HYD_STORMWATER</v>
      </c>
    </row>
    <row r="9" spans="1:4" x14ac:dyDescent="0.25">
      <c r="A9" t="s">
        <v>18</v>
      </c>
      <c r="B9">
        <f>Hyd_Pipe_Stormwater_SS_color</f>
        <v>120</v>
      </c>
      <c r="C9">
        <f>Hyd_Pipe_Stormwater_SS_lineweight</f>
        <v>70</v>
      </c>
      <c r="D9" t="str">
        <f>Hyd_Pipe_Stormwater_SS_linetype</f>
        <v>HYD_SUB_SOIL</v>
      </c>
    </row>
    <row r="10" spans="1:4" x14ac:dyDescent="0.25">
      <c r="A10" t="s">
        <v>20</v>
      </c>
      <c r="B10">
        <f>Hyd_Pipe_Sanitary_SD_color</f>
        <v>160</v>
      </c>
      <c r="C10">
        <f>Hyd_Pipe_Sanitary_SD_lineweight</f>
        <v>70</v>
      </c>
      <c r="D10" t="str">
        <f>Hyd_Pipe_Sanitary_SD_linetype</f>
        <v>Continuous</v>
      </c>
    </row>
    <row r="11" spans="1:4" x14ac:dyDescent="0.25">
      <c r="A11" t="s">
        <v>22</v>
      </c>
      <c r="B11">
        <f>Hyd_Pipe_Sanitary_SP_color</f>
        <v>170</v>
      </c>
      <c r="C11">
        <f>Hyd_Pipe_Sanitary_SP_lineweight</f>
        <v>70</v>
      </c>
      <c r="D11" t="str">
        <f>Hyd_Pipe_Sanitary_SP_linetype</f>
        <v>Continuous</v>
      </c>
    </row>
    <row r="12" spans="1:4" x14ac:dyDescent="0.25">
      <c r="A12" t="s">
        <v>23</v>
      </c>
      <c r="B12">
        <f>Hyd_Pipe_Sanitary_SW_color</f>
        <v>180</v>
      </c>
      <c r="C12">
        <f>Hyd_Pipe_Sanitary_SW_lineweight</f>
        <v>70</v>
      </c>
      <c r="D12" t="str">
        <f>Hyd_Pipe_Sanitary_SW_linetype</f>
        <v>Continuous</v>
      </c>
    </row>
    <row r="13" spans="1:4" x14ac:dyDescent="0.25">
      <c r="A13" t="s">
        <v>24</v>
      </c>
      <c r="B13">
        <f>Hyd_Pipe_Sanitary_TW_color</f>
        <v>190</v>
      </c>
      <c r="C13">
        <f>Hyd_Pipe_Sanitary_TW_lineweight</f>
        <v>70</v>
      </c>
      <c r="D13" t="str">
        <f>Hyd_Pipe_Sanitary_TW_linetype</f>
        <v>Continuous</v>
      </c>
    </row>
    <row r="14" spans="1:4" x14ac:dyDescent="0.25">
      <c r="A14" t="s">
        <v>25</v>
      </c>
      <c r="B14">
        <f>Hyd_Pipe_Sanitary_VP_color</f>
        <v>200</v>
      </c>
      <c r="C14">
        <f>Hyd_Pipe_Sanitary_VP_lineweight</f>
        <v>70</v>
      </c>
      <c r="D14" t="str">
        <f>Hyd_Pipe_Sanitary_VP_linetype</f>
        <v>HYD_VENT</v>
      </c>
    </row>
    <row r="15" spans="1:4" x14ac:dyDescent="0.25">
      <c r="A15" t="s">
        <v>27</v>
      </c>
      <c r="B15">
        <f>Hyd_Pipe_Fire_FH_color</f>
        <v>220</v>
      </c>
      <c r="C15">
        <f>Hyd_Pipe_Fire_FH_lineweight</f>
        <v>50</v>
      </c>
      <c r="D15" t="str">
        <f>Hyd_Pipe_Fire_FH_linetype</f>
        <v>Continuous</v>
      </c>
    </row>
    <row r="16" spans="1:4" x14ac:dyDescent="0.25">
      <c r="A16" t="s">
        <v>28</v>
      </c>
      <c r="B16">
        <f>Hyd_Pipe_Fire_FHR_color</f>
        <v>230</v>
      </c>
      <c r="C16">
        <f>Hyd_Pipe_Fire_FHR_lineweight</f>
        <v>50</v>
      </c>
      <c r="D16" t="str">
        <f>Hyd_Pipe_Fire_FHR_linetype</f>
        <v>Continuous</v>
      </c>
    </row>
    <row r="17" spans="1:4" x14ac:dyDescent="0.25">
      <c r="A17" t="s">
        <v>29</v>
      </c>
      <c r="B17">
        <f>Hyd_Pipe_Fire_FS_color</f>
        <v>240</v>
      </c>
      <c r="C17">
        <f>Hyd_Pipe_Fire_FS_lineweight</f>
        <v>50</v>
      </c>
      <c r="D17" t="str">
        <f>Hyd_Pipe_Fire_FS_linetype</f>
        <v>Continuous</v>
      </c>
    </row>
  </sheetData>
  <sheetProtection sheet="1" selectLockedCells="1" selectUnlockedCells="1"/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8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40" customWidth="1"/>
    <col min="2" max="2" width="20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4</v>
      </c>
      <c r="B2">
        <f>Hyd_Pipe_Water_CW_color</f>
        <v>10</v>
      </c>
    </row>
    <row r="3" spans="1:2" x14ac:dyDescent="0.25">
      <c r="A3" t="s">
        <v>6</v>
      </c>
      <c r="B3">
        <f>Hyd_Pipe_Water_RE_color</f>
        <v>90</v>
      </c>
    </row>
    <row r="4" spans="1:2" x14ac:dyDescent="0.25">
      <c r="A4" t="s">
        <v>8</v>
      </c>
      <c r="B4">
        <f>Hyd_Pipe_Water_HW_color</f>
        <v>10</v>
      </c>
    </row>
    <row r="5" spans="1:2" x14ac:dyDescent="0.25">
      <c r="A5" t="s">
        <v>10</v>
      </c>
      <c r="B5">
        <f>Hyd_Pipe_Water_HWR_color</f>
        <v>20</v>
      </c>
    </row>
    <row r="6" spans="1:2" x14ac:dyDescent="0.25">
      <c r="A6" t="s">
        <v>12</v>
      </c>
      <c r="B6">
        <f>Hyd_Pipe_Water_WW_color</f>
        <v>40</v>
      </c>
    </row>
    <row r="7" spans="1:2" x14ac:dyDescent="0.25">
      <c r="A7" t="s">
        <v>14</v>
      </c>
      <c r="B7">
        <f>Hyd_Pipe_Gas_G_color</f>
        <v>60</v>
      </c>
    </row>
    <row r="8" spans="1:2" x14ac:dyDescent="0.25">
      <c r="A8" t="s">
        <v>16</v>
      </c>
      <c r="B8">
        <f>Hyd_Pipe_Stormwater_STW_color</f>
        <v>110</v>
      </c>
    </row>
    <row r="9" spans="1:2" x14ac:dyDescent="0.25">
      <c r="A9" t="s">
        <v>18</v>
      </c>
      <c r="B9">
        <f>Hyd_Pipe_Stormwater_SS_color</f>
        <v>120</v>
      </c>
    </row>
    <row r="10" spans="1:2" x14ac:dyDescent="0.25">
      <c r="A10" t="s">
        <v>20</v>
      </c>
      <c r="B10">
        <f>Hyd_Pipe_Sanitary_SD_color</f>
        <v>160</v>
      </c>
    </row>
    <row r="11" spans="1:2" x14ac:dyDescent="0.25">
      <c r="A11" t="s">
        <v>22</v>
      </c>
      <c r="B11">
        <f>Hyd_Pipe_Sanitary_SP_color</f>
        <v>170</v>
      </c>
    </row>
    <row r="12" spans="1:2" x14ac:dyDescent="0.25">
      <c r="A12" t="s">
        <v>23</v>
      </c>
      <c r="B12">
        <f>Hyd_Pipe_Sanitary_SW_color</f>
        <v>180</v>
      </c>
    </row>
    <row r="13" spans="1:2" x14ac:dyDescent="0.25">
      <c r="A13" t="s">
        <v>24</v>
      </c>
      <c r="B13">
        <f>Hyd_Pipe_Sanitary_TW_color</f>
        <v>190</v>
      </c>
    </row>
    <row r="14" spans="1:2" x14ac:dyDescent="0.25">
      <c r="A14" t="s">
        <v>25</v>
      </c>
      <c r="B14">
        <f>Hyd_Pipe_Sanitary_VP_color</f>
        <v>200</v>
      </c>
    </row>
    <row r="15" spans="1:2" x14ac:dyDescent="0.25">
      <c r="A15" t="s">
        <v>27</v>
      </c>
      <c r="B15">
        <f>Hyd_Pipe_Fire_FH_color</f>
        <v>220</v>
      </c>
    </row>
    <row r="16" spans="1:2" x14ac:dyDescent="0.25">
      <c r="A16" t="s">
        <v>28</v>
      </c>
      <c r="B16">
        <f>Hyd_Pipe_Fire_FHR_color</f>
        <v>230</v>
      </c>
    </row>
    <row r="17" spans="1:2" x14ac:dyDescent="0.25">
      <c r="A17" t="s">
        <v>29</v>
      </c>
      <c r="B17">
        <f>Hyd_Pipe_Fire_FS_color</f>
        <v>240</v>
      </c>
    </row>
    <row r="18" spans="1:2" x14ac:dyDescent="0.25">
      <c r="A18" t="s">
        <v>30</v>
      </c>
      <c r="B18">
        <f>Hyd_Comment_Info_color</f>
        <v>10</v>
      </c>
    </row>
    <row r="19" spans="1:2" x14ac:dyDescent="0.25">
      <c r="A19" t="s">
        <v>31</v>
      </c>
      <c r="B19">
        <f>Hyd_Comment_Calc_color</f>
        <v>10</v>
      </c>
    </row>
    <row r="20" spans="1:2" x14ac:dyDescent="0.25">
      <c r="A20" t="s">
        <v>32</v>
      </c>
      <c r="B20">
        <f>Hyd_Comment_Note_color</f>
        <v>10</v>
      </c>
    </row>
    <row r="21" spans="1:2" x14ac:dyDescent="0.25">
      <c r="A21" t="s">
        <v>33</v>
      </c>
      <c r="B21">
        <f>Hyd_Comment_ToDo_color</f>
        <v>10</v>
      </c>
    </row>
    <row r="22" spans="1:2" x14ac:dyDescent="0.25">
      <c r="A22" t="s">
        <v>34</v>
      </c>
      <c r="B22">
        <f>Hyd_MLine_color</f>
        <v>7</v>
      </c>
    </row>
    <row r="23" spans="1:2" x14ac:dyDescent="0.25">
      <c r="A23" t="s">
        <v>35</v>
      </c>
      <c r="B23">
        <f>Hyd_Hatch_General_color</f>
        <v>7</v>
      </c>
    </row>
    <row r="24" spans="1:2" x14ac:dyDescent="0.25">
      <c r="A24" t="s">
        <v>36</v>
      </c>
      <c r="B24">
        <f>Hyd_Hatch_Sound_color</f>
        <v>7</v>
      </c>
    </row>
    <row r="25" spans="1:2" x14ac:dyDescent="0.25">
      <c r="A25" t="s">
        <v>37</v>
      </c>
      <c r="B25">
        <f>Hyd_Hatch_Conc_color</f>
        <v>7</v>
      </c>
    </row>
    <row r="26" spans="1:2" x14ac:dyDescent="0.25">
      <c r="A26" t="s">
        <v>38</v>
      </c>
      <c r="B26">
        <f>Hyd_Hatch_Heat_color</f>
        <v>7</v>
      </c>
    </row>
    <row r="27" spans="1:2" x14ac:dyDescent="0.25">
      <c r="A27" t="s">
        <v>39</v>
      </c>
      <c r="B27">
        <f>Hyd_Existing_x_color</f>
        <v>7</v>
      </c>
    </row>
    <row r="28" spans="1:2" x14ac:dyDescent="0.25">
      <c r="A28" t="s">
        <v>40</v>
      </c>
      <c r="B28">
        <f>Hyd_Existing_e_color</f>
        <v>7</v>
      </c>
    </row>
    <row r="29" spans="1:2" x14ac:dyDescent="0.25">
      <c r="A29" t="s">
        <v>41</v>
      </c>
      <c r="B29">
        <f>Hyd_Existing_w_color</f>
        <v>7</v>
      </c>
    </row>
    <row r="30" spans="1:2" x14ac:dyDescent="0.25">
      <c r="A30" t="s">
        <v>42</v>
      </c>
      <c r="B30">
        <f>Hyd_Existing_s_color</f>
        <v>7</v>
      </c>
    </row>
    <row r="31" spans="1:2" x14ac:dyDescent="0.25">
      <c r="A31" t="s">
        <v>43</v>
      </c>
      <c r="B31">
        <f>Hyd_Existing_g_color</f>
        <v>7</v>
      </c>
    </row>
    <row r="32" spans="1:2" x14ac:dyDescent="0.25">
      <c r="A32" t="s">
        <v>44</v>
      </c>
      <c r="B32">
        <f>Hyd_Label_color</f>
        <v>7</v>
      </c>
    </row>
    <row r="33" spans="1:2" x14ac:dyDescent="0.25">
      <c r="A33" t="s">
        <v>45</v>
      </c>
      <c r="B33">
        <f>Hyd_Label_Hex_color</f>
        <v>7</v>
      </c>
    </row>
    <row r="34" spans="1:2" x14ac:dyDescent="0.25">
      <c r="A34" t="s">
        <v>46</v>
      </c>
      <c r="B34">
        <f>Hyd_Label_Rev_color</f>
        <v>7</v>
      </c>
    </row>
    <row r="35" spans="1:2" x14ac:dyDescent="0.25">
      <c r="A35" t="s">
        <v>47</v>
      </c>
      <c r="B35">
        <f>Hyd_Label_Cloud_color</f>
        <v>7</v>
      </c>
    </row>
    <row r="36" spans="1:2" x14ac:dyDescent="0.25">
      <c r="A36" t="s">
        <v>48</v>
      </c>
      <c r="B36">
        <f>Hyd_Label_Leader_color</f>
        <v>7</v>
      </c>
    </row>
    <row r="37" spans="1:2" x14ac:dyDescent="0.25">
      <c r="A37" t="s">
        <v>49</v>
      </c>
      <c r="B37">
        <f>Hyd_Label_Dim_color</f>
        <v>7</v>
      </c>
    </row>
    <row r="38" spans="1:2" x14ac:dyDescent="0.25">
      <c r="A38" t="s">
        <v>50</v>
      </c>
      <c r="B38">
        <f>Hyd_Label_General_color</f>
        <v>7</v>
      </c>
    </row>
    <row r="39" spans="1:2" x14ac:dyDescent="0.25">
      <c r="A39" t="s">
        <v>51</v>
      </c>
      <c r="B39">
        <f>Hyd_Label_Detail_color</f>
        <v>7</v>
      </c>
    </row>
    <row r="40" spans="1:2" x14ac:dyDescent="0.25">
      <c r="A40" t="s">
        <v>52</v>
      </c>
      <c r="B40">
        <f>Hyd_Label_Text200_color</f>
        <v>7</v>
      </c>
    </row>
    <row r="41" spans="1:2" x14ac:dyDescent="0.25">
      <c r="A41" t="s">
        <v>53</v>
      </c>
      <c r="B41">
        <f>Hyd_Label_Text250_color</f>
        <v>7</v>
      </c>
    </row>
    <row r="42" spans="1:2" x14ac:dyDescent="0.25">
      <c r="A42" t="s">
        <v>54</v>
      </c>
      <c r="B42">
        <f>Hyd_Label_Text300_color</f>
        <v>7</v>
      </c>
    </row>
    <row r="43" spans="1:2" x14ac:dyDescent="0.25">
      <c r="A43" t="s">
        <v>55</v>
      </c>
      <c r="B43">
        <f>Hyd_Label_Text350_color</f>
        <v>7</v>
      </c>
    </row>
    <row r="44" spans="1:2" x14ac:dyDescent="0.25">
      <c r="A44" t="s">
        <v>56</v>
      </c>
      <c r="B44">
        <f>Hyd_Label_Text500_color</f>
        <v>7</v>
      </c>
    </row>
    <row r="45" spans="1:2" x14ac:dyDescent="0.25">
      <c r="A45" t="s">
        <v>57</v>
      </c>
      <c r="B45">
        <f>Hyd_Label_Text700_color</f>
        <v>7</v>
      </c>
    </row>
    <row r="46" spans="1:2" x14ac:dyDescent="0.25">
      <c r="A46" t="s">
        <v>58</v>
      </c>
      <c r="B46">
        <f>Hyd_Label_Water_CW_color</f>
        <v>7</v>
      </c>
    </row>
    <row r="47" spans="1:2" x14ac:dyDescent="0.25">
      <c r="A47" t="s">
        <v>59</v>
      </c>
      <c r="B47">
        <f>Hyd_Label_Water_RE_color</f>
        <v>7</v>
      </c>
    </row>
    <row r="48" spans="1:2" x14ac:dyDescent="0.25">
      <c r="A48" t="s">
        <v>60</v>
      </c>
      <c r="B48">
        <f>Hyd_Label_Water_HW_color</f>
        <v>7</v>
      </c>
    </row>
    <row r="49" spans="1:2" x14ac:dyDescent="0.25">
      <c r="A49" t="s">
        <v>61</v>
      </c>
      <c r="B49">
        <f>Hyd_Label_Water_HWR_color</f>
        <v>7</v>
      </c>
    </row>
    <row r="50" spans="1:2" x14ac:dyDescent="0.25">
      <c r="A50" t="s">
        <v>62</v>
      </c>
      <c r="B50">
        <f>Hyd_Label_Water_WW_color</f>
        <v>7</v>
      </c>
    </row>
    <row r="51" spans="1:2" x14ac:dyDescent="0.25">
      <c r="A51" t="s">
        <v>63</v>
      </c>
      <c r="B51">
        <f>Hyd_Label_Gas_G_color</f>
        <v>7</v>
      </c>
    </row>
    <row r="52" spans="1:2" x14ac:dyDescent="0.25">
      <c r="A52" t="s">
        <v>64</v>
      </c>
      <c r="B52">
        <f>Hyd_Label_Stormwater_STW_color</f>
        <v>7</v>
      </c>
    </row>
    <row r="53" spans="1:2" x14ac:dyDescent="0.25">
      <c r="A53" t="s">
        <v>65</v>
      </c>
      <c r="B53">
        <f>Hyd_Label_Stormwater_SS_color</f>
        <v>7</v>
      </c>
    </row>
    <row r="54" spans="1:2" x14ac:dyDescent="0.25">
      <c r="A54" t="s">
        <v>66</v>
      </c>
      <c r="B54">
        <f>Hyd_Label_Sanitary_SD_color</f>
        <v>7</v>
      </c>
    </row>
    <row r="55" spans="1:2" x14ac:dyDescent="0.25">
      <c r="A55" t="s">
        <v>67</v>
      </c>
      <c r="B55">
        <f>Hyd_Label_Sanitary_SP_color</f>
        <v>7</v>
      </c>
    </row>
    <row r="56" spans="1:2" x14ac:dyDescent="0.25">
      <c r="A56" t="s">
        <v>68</v>
      </c>
      <c r="B56">
        <f>Hyd_Label_Sanitary_SW_color</f>
        <v>7</v>
      </c>
    </row>
    <row r="57" spans="1:2" x14ac:dyDescent="0.25">
      <c r="A57" t="s">
        <v>69</v>
      </c>
      <c r="B57">
        <f>Hyd_Label_Sanitary_TW_color</f>
        <v>7</v>
      </c>
    </row>
    <row r="58" spans="1:2" x14ac:dyDescent="0.25">
      <c r="A58" t="s">
        <v>70</v>
      </c>
      <c r="B58">
        <f>Hyd_Label_Sanitary_VP_color</f>
        <v>7</v>
      </c>
    </row>
    <row r="59" spans="1:2" x14ac:dyDescent="0.25">
      <c r="A59" t="s">
        <v>71</v>
      </c>
      <c r="B59">
        <f>Hyd_Label_Fire_FH_color</f>
        <v>7</v>
      </c>
    </row>
    <row r="60" spans="1:2" x14ac:dyDescent="0.25">
      <c r="A60" t="s">
        <v>72</v>
      </c>
      <c r="B60">
        <f>Hyd_Label_Fire_FHR_color</f>
        <v>7</v>
      </c>
    </row>
    <row r="61" spans="1:2" x14ac:dyDescent="0.25">
      <c r="A61" t="s">
        <v>73</v>
      </c>
      <c r="B61">
        <f>Hyd_Label_Fire_FS_color</f>
        <v>7</v>
      </c>
    </row>
    <row r="62" spans="1:2" x14ac:dyDescent="0.25">
      <c r="A62" t="s">
        <v>74</v>
      </c>
      <c r="B62">
        <f>Hyd_Symbol_color</f>
        <v>7</v>
      </c>
    </row>
    <row r="63" spans="1:2" x14ac:dyDescent="0.25">
      <c r="A63" t="s">
        <v>75</v>
      </c>
      <c r="B63">
        <f>Hyd_Symbol_Valve_color</f>
        <v>7</v>
      </c>
    </row>
    <row r="64" spans="1:2" x14ac:dyDescent="0.25">
      <c r="A64" t="s">
        <v>76</v>
      </c>
      <c r="B64">
        <f>Hyd_Symbol_Sanitary_Fixture_color</f>
        <v>7</v>
      </c>
    </row>
    <row r="65" spans="1:2" x14ac:dyDescent="0.25">
      <c r="A65" t="s">
        <v>77</v>
      </c>
      <c r="B65">
        <f>Hyd_Symbol_Water_Fixture_color</f>
        <v>7</v>
      </c>
    </row>
    <row r="66" spans="1:2" x14ac:dyDescent="0.25">
      <c r="A66" t="s">
        <v>78</v>
      </c>
      <c r="B66">
        <f>Hyd_Symbol_Gas_Fixture_color</f>
        <v>7</v>
      </c>
    </row>
    <row r="67" spans="1:2" x14ac:dyDescent="0.25">
      <c r="A67" t="s">
        <v>79</v>
      </c>
      <c r="B67">
        <f>Hyd_Symbol_Stormwater_Fixture_color</f>
        <v>7</v>
      </c>
    </row>
    <row r="68" spans="1:2" x14ac:dyDescent="0.25">
      <c r="A68" t="s">
        <v>80</v>
      </c>
      <c r="B68">
        <f>Hyd_Symbol_Fire_Fixture_color</f>
        <v>7</v>
      </c>
    </row>
    <row r="69" spans="1:2" x14ac:dyDescent="0.25">
      <c r="A69" t="s">
        <v>81</v>
      </c>
      <c r="B69">
        <f>Hyd_Symbol_Water_CW_color</f>
        <v>7</v>
      </c>
    </row>
    <row r="70" spans="1:2" x14ac:dyDescent="0.25">
      <c r="A70" t="s">
        <v>82</v>
      </c>
      <c r="B70">
        <f>Hyd_Symbol_Water_RE_color</f>
        <v>7</v>
      </c>
    </row>
    <row r="71" spans="1:2" x14ac:dyDescent="0.25">
      <c r="A71" t="s">
        <v>83</v>
      </c>
      <c r="B71">
        <f>Hyd_Symbol_Water_HW_color</f>
        <v>7</v>
      </c>
    </row>
    <row r="72" spans="1:2" x14ac:dyDescent="0.25">
      <c r="A72" t="s">
        <v>84</v>
      </c>
      <c r="B72">
        <f>Hyd_Symbol_Water_HWR_color</f>
        <v>7</v>
      </c>
    </row>
    <row r="73" spans="1:2" x14ac:dyDescent="0.25">
      <c r="A73" t="s">
        <v>85</v>
      </c>
      <c r="B73">
        <f>Hyd_Symbol_Water_WW_color</f>
        <v>7</v>
      </c>
    </row>
    <row r="74" spans="1:2" x14ac:dyDescent="0.25">
      <c r="A74" t="s">
        <v>86</v>
      </c>
      <c r="B74">
        <f>Hyd_Symbol_Gas_G_color</f>
        <v>7</v>
      </c>
    </row>
    <row r="75" spans="1:2" x14ac:dyDescent="0.25">
      <c r="A75" t="s">
        <v>87</v>
      </c>
      <c r="B75">
        <f>Hyd_Symbol_Stormwater_STW_color</f>
        <v>7</v>
      </c>
    </row>
    <row r="76" spans="1:2" x14ac:dyDescent="0.25">
      <c r="A76" t="s">
        <v>88</v>
      </c>
      <c r="B76">
        <f>Hyd_Symbol_Stormwater_SS_color</f>
        <v>7</v>
      </c>
    </row>
    <row r="77" spans="1:2" x14ac:dyDescent="0.25">
      <c r="A77" t="s">
        <v>89</v>
      </c>
      <c r="B77">
        <f>Hyd_Symbol_Sanitary_SD_color</f>
        <v>7</v>
      </c>
    </row>
    <row r="78" spans="1:2" x14ac:dyDescent="0.25">
      <c r="A78" t="s">
        <v>90</v>
      </c>
      <c r="B78">
        <f>Hyd_Symbol_Sanitary_SP_color</f>
        <v>7</v>
      </c>
    </row>
    <row r="79" spans="1:2" x14ac:dyDescent="0.25">
      <c r="A79" t="s">
        <v>91</v>
      </c>
      <c r="B79">
        <f>Hyd_Symbol_Sanitary_SW_color</f>
        <v>7</v>
      </c>
    </row>
    <row r="80" spans="1:2" x14ac:dyDescent="0.25">
      <c r="A80" t="s">
        <v>92</v>
      </c>
      <c r="B80">
        <f>Hyd_Symbol_Sanitary_TW_color</f>
        <v>7</v>
      </c>
    </row>
    <row r="81" spans="1:2" x14ac:dyDescent="0.25">
      <c r="A81" t="s">
        <v>93</v>
      </c>
      <c r="B81">
        <f>Hyd_Symbol_Sanitary_VP_color</f>
        <v>7</v>
      </c>
    </row>
    <row r="82" spans="1:2" x14ac:dyDescent="0.25">
      <c r="A82" t="s">
        <v>94</v>
      </c>
      <c r="B82">
        <f>Hyd_Symbol_Fire_FH_color</f>
        <v>7</v>
      </c>
    </row>
    <row r="83" spans="1:2" x14ac:dyDescent="0.25">
      <c r="A83" t="s">
        <v>95</v>
      </c>
      <c r="B83">
        <f>Hyd_Symbol_Fire_FHR_color</f>
        <v>7</v>
      </c>
    </row>
    <row r="84" spans="1:2" x14ac:dyDescent="0.25">
      <c r="A84" t="s">
        <v>96</v>
      </c>
      <c r="B84">
        <f>Hyd_Symbol_Fire_FS_color</f>
        <v>7</v>
      </c>
    </row>
  </sheetData>
  <sheetProtection sheet="1" selectLockedCells="1" selectUnlockedCells="1"/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40" customWidth="1"/>
    <col min="2" max="2" width="20" customWidth="1"/>
  </cols>
  <sheetData>
    <row r="1" spans="1:2" x14ac:dyDescent="0.25">
      <c r="A1" t="s">
        <v>0</v>
      </c>
      <c r="B1" t="s">
        <v>2</v>
      </c>
    </row>
    <row r="2" spans="1:2" x14ac:dyDescent="0.25">
      <c r="A2" t="s">
        <v>4</v>
      </c>
      <c r="B2">
        <f>Hyd_Pipe_Water_CW_lineweight</f>
        <v>50</v>
      </c>
    </row>
    <row r="3" spans="1:2" x14ac:dyDescent="0.25">
      <c r="A3" t="s">
        <v>6</v>
      </c>
      <c r="B3">
        <f>Hyd_Pipe_Water_RE_lineweight</f>
        <v>50</v>
      </c>
    </row>
    <row r="4" spans="1:2" x14ac:dyDescent="0.25">
      <c r="A4" t="s">
        <v>8</v>
      </c>
      <c r="B4">
        <f>Hyd_Pipe_Water_HW_lineweight</f>
        <v>50</v>
      </c>
    </row>
    <row r="5" spans="1:2" x14ac:dyDescent="0.25">
      <c r="A5" t="s">
        <v>10</v>
      </c>
      <c r="B5">
        <f>Hyd_Pipe_Water_HWR_lineweight</f>
        <v>50</v>
      </c>
    </row>
    <row r="6" spans="1:2" x14ac:dyDescent="0.25">
      <c r="A6" t="s">
        <v>12</v>
      </c>
      <c r="B6">
        <f>Hyd_Pipe_Water_WW_lineweight</f>
        <v>50</v>
      </c>
    </row>
    <row r="7" spans="1:2" x14ac:dyDescent="0.25">
      <c r="A7" t="s">
        <v>14</v>
      </c>
      <c r="B7">
        <f>Hyd_Pipe_Gas_G_lineweight</f>
        <v>50</v>
      </c>
    </row>
    <row r="8" spans="1:2" x14ac:dyDescent="0.25">
      <c r="A8" t="s">
        <v>16</v>
      </c>
      <c r="B8">
        <f>Hyd_Pipe_Stormwater_STW_lineweight</f>
        <v>70</v>
      </c>
    </row>
    <row r="9" spans="1:2" x14ac:dyDescent="0.25">
      <c r="A9" t="s">
        <v>18</v>
      </c>
      <c r="B9">
        <f>Hyd_Pipe_Stormwater_SS_lineweight</f>
        <v>70</v>
      </c>
    </row>
    <row r="10" spans="1:2" x14ac:dyDescent="0.25">
      <c r="A10" t="s">
        <v>20</v>
      </c>
      <c r="B10">
        <f>Hyd_Pipe_Sanitary_SD_lineweight</f>
        <v>70</v>
      </c>
    </row>
    <row r="11" spans="1:2" x14ac:dyDescent="0.25">
      <c r="A11" t="s">
        <v>22</v>
      </c>
      <c r="B11">
        <f>Hyd_Pipe_Sanitary_SP_lineweight</f>
        <v>70</v>
      </c>
    </row>
    <row r="12" spans="1:2" x14ac:dyDescent="0.25">
      <c r="A12" t="s">
        <v>23</v>
      </c>
      <c r="B12">
        <f>Hyd_Pipe_Sanitary_SW_lineweight</f>
        <v>70</v>
      </c>
    </row>
    <row r="13" spans="1:2" x14ac:dyDescent="0.25">
      <c r="A13" t="s">
        <v>24</v>
      </c>
      <c r="B13">
        <f>Hyd_Pipe_Sanitary_TW_lineweight</f>
        <v>70</v>
      </c>
    </row>
    <row r="14" spans="1:2" x14ac:dyDescent="0.25">
      <c r="A14" t="s">
        <v>25</v>
      </c>
      <c r="B14">
        <f>Hyd_Pipe_Sanitary_VP_lineweight</f>
        <v>70</v>
      </c>
    </row>
    <row r="15" spans="1:2" x14ac:dyDescent="0.25">
      <c r="A15" t="s">
        <v>27</v>
      </c>
      <c r="B15">
        <f>Hyd_Pipe_Fire_FH_lineweight</f>
        <v>50</v>
      </c>
    </row>
    <row r="16" spans="1:2" x14ac:dyDescent="0.25">
      <c r="A16" t="s">
        <v>28</v>
      </c>
      <c r="B16">
        <f>Hyd_Pipe_Fire_FHR_lineweight</f>
        <v>50</v>
      </c>
    </row>
    <row r="17" spans="1:2" x14ac:dyDescent="0.25">
      <c r="A17" t="s">
        <v>29</v>
      </c>
      <c r="B17">
        <f>Hyd_Pipe_Fire_FS_lineweight</f>
        <v>50</v>
      </c>
    </row>
    <row r="18" spans="1:2" x14ac:dyDescent="0.25">
      <c r="A18" t="s">
        <v>30</v>
      </c>
      <c r="B18">
        <f>Hyd_Comment_Info_lineweight</f>
        <v>25</v>
      </c>
    </row>
    <row r="19" spans="1:2" x14ac:dyDescent="0.25">
      <c r="A19" t="s">
        <v>31</v>
      </c>
      <c r="B19">
        <f>Hyd_Comment_Calc_lineweight</f>
        <v>25</v>
      </c>
    </row>
    <row r="20" spans="1:2" x14ac:dyDescent="0.25">
      <c r="A20" t="s">
        <v>32</v>
      </c>
      <c r="B20">
        <f>Hyd_Comment_Note_lineweight</f>
        <v>25</v>
      </c>
    </row>
    <row r="21" spans="1:2" x14ac:dyDescent="0.25">
      <c r="A21" t="s">
        <v>33</v>
      </c>
      <c r="B21">
        <f>Hyd_Comment_ToDo_lineweight</f>
        <v>25</v>
      </c>
    </row>
    <row r="22" spans="1:2" x14ac:dyDescent="0.25">
      <c r="A22" t="s">
        <v>34</v>
      </c>
      <c r="B22">
        <f>Hyd_MLine_lineweight</f>
        <v>25</v>
      </c>
    </row>
    <row r="23" spans="1:2" x14ac:dyDescent="0.25">
      <c r="A23" t="s">
        <v>35</v>
      </c>
      <c r="B23">
        <f>Hyd_Hatch_General_lineweight</f>
        <v>25</v>
      </c>
    </row>
    <row r="24" spans="1:2" x14ac:dyDescent="0.25">
      <c r="A24" t="s">
        <v>36</v>
      </c>
      <c r="B24">
        <f>Hyd_Hatch_Sound_lineweight</f>
        <v>25</v>
      </c>
    </row>
    <row r="25" spans="1:2" x14ac:dyDescent="0.25">
      <c r="A25" t="s">
        <v>37</v>
      </c>
      <c r="B25">
        <f>Hyd_Hatch_Conc_lineweight</f>
        <v>25</v>
      </c>
    </row>
    <row r="26" spans="1:2" x14ac:dyDescent="0.25">
      <c r="A26" t="s">
        <v>38</v>
      </c>
      <c r="B26">
        <f>Hyd_Hatch_Heat_lineweight</f>
        <v>25</v>
      </c>
    </row>
    <row r="27" spans="1:2" x14ac:dyDescent="0.25">
      <c r="A27" t="s">
        <v>39</v>
      </c>
      <c r="B27">
        <f>Hyd_Existing_x_lineweight</f>
        <v>25</v>
      </c>
    </row>
    <row r="28" spans="1:2" x14ac:dyDescent="0.25">
      <c r="A28" t="s">
        <v>40</v>
      </c>
      <c r="B28">
        <f>Hyd_Existing_e_lineweight</f>
        <v>25</v>
      </c>
    </row>
    <row r="29" spans="1:2" x14ac:dyDescent="0.25">
      <c r="A29" t="s">
        <v>41</v>
      </c>
      <c r="B29">
        <f>Hyd_Existing_w_lineweight</f>
        <v>25</v>
      </c>
    </row>
    <row r="30" spans="1:2" x14ac:dyDescent="0.25">
      <c r="A30" t="s">
        <v>42</v>
      </c>
      <c r="B30">
        <f>Hyd_Existing_s_lineweight</f>
        <v>25</v>
      </c>
    </row>
    <row r="31" spans="1:2" x14ac:dyDescent="0.25">
      <c r="A31" t="s">
        <v>43</v>
      </c>
      <c r="B31">
        <f>Hyd_Existing_g_lineweight</f>
        <v>25</v>
      </c>
    </row>
    <row r="32" spans="1:2" x14ac:dyDescent="0.25">
      <c r="A32" t="s">
        <v>44</v>
      </c>
      <c r="B32">
        <f>Hyd_Label_lineweight</f>
        <v>25</v>
      </c>
    </row>
    <row r="33" spans="1:2" x14ac:dyDescent="0.25">
      <c r="A33" t="s">
        <v>45</v>
      </c>
      <c r="B33">
        <f>Hyd_Label_Hex_lineweight</f>
        <v>25</v>
      </c>
    </row>
    <row r="34" spans="1:2" x14ac:dyDescent="0.25">
      <c r="A34" t="s">
        <v>46</v>
      </c>
      <c r="B34">
        <f>Hyd_Label_Rev_lineweight</f>
        <v>35</v>
      </c>
    </row>
    <row r="35" spans="1:2" x14ac:dyDescent="0.25">
      <c r="A35" t="s">
        <v>47</v>
      </c>
      <c r="B35">
        <f>Hyd_Label_Cloud_lineweight</f>
        <v>35</v>
      </c>
    </row>
    <row r="36" spans="1:2" x14ac:dyDescent="0.25">
      <c r="A36" t="s">
        <v>48</v>
      </c>
      <c r="B36">
        <f>Hyd_Label_Leader_lineweight</f>
        <v>25</v>
      </c>
    </row>
    <row r="37" spans="1:2" x14ac:dyDescent="0.25">
      <c r="A37" t="s">
        <v>49</v>
      </c>
      <c r="B37">
        <f>Hyd_Label_Dim_lineweight</f>
        <v>25</v>
      </c>
    </row>
    <row r="38" spans="1:2" x14ac:dyDescent="0.25">
      <c r="A38" t="s">
        <v>50</v>
      </c>
      <c r="B38">
        <f>Hyd_Label_General_lineweight</f>
        <v>25</v>
      </c>
    </row>
    <row r="39" spans="1:2" x14ac:dyDescent="0.25">
      <c r="A39" t="s">
        <v>51</v>
      </c>
      <c r="B39">
        <f>Hyd_Label_Detail_lineweight</f>
        <v>25</v>
      </c>
    </row>
    <row r="40" spans="1:2" x14ac:dyDescent="0.25">
      <c r="A40" t="s">
        <v>52</v>
      </c>
      <c r="B40">
        <f>Hyd_Label_Text200_lineweight</f>
        <v>25</v>
      </c>
    </row>
    <row r="41" spans="1:2" x14ac:dyDescent="0.25">
      <c r="A41" t="s">
        <v>53</v>
      </c>
      <c r="B41">
        <f>Hyd_Label_Text250_lineweight</f>
        <v>25</v>
      </c>
    </row>
    <row r="42" spans="1:2" x14ac:dyDescent="0.25">
      <c r="A42" t="s">
        <v>54</v>
      </c>
      <c r="B42">
        <f>Hyd_Label_Text300_lineweight</f>
        <v>25</v>
      </c>
    </row>
    <row r="43" spans="1:2" x14ac:dyDescent="0.25">
      <c r="A43" t="s">
        <v>55</v>
      </c>
      <c r="B43">
        <f>Hyd_Label_Text350_lineweight</f>
        <v>25</v>
      </c>
    </row>
    <row r="44" spans="1:2" x14ac:dyDescent="0.25">
      <c r="A44" t="s">
        <v>56</v>
      </c>
      <c r="B44">
        <f>Hyd_Label_Text500_lineweight</f>
        <v>25</v>
      </c>
    </row>
    <row r="45" spans="1:2" x14ac:dyDescent="0.25">
      <c r="A45" t="s">
        <v>57</v>
      </c>
      <c r="B45">
        <f>Hyd_Label_Text700_lineweight</f>
        <v>25</v>
      </c>
    </row>
    <row r="46" spans="1:2" x14ac:dyDescent="0.25">
      <c r="A46" t="s">
        <v>58</v>
      </c>
      <c r="B46">
        <f>Hyd_Label_Water_CW_lineweight</f>
        <v>25</v>
      </c>
    </row>
    <row r="47" spans="1:2" x14ac:dyDescent="0.25">
      <c r="A47" t="s">
        <v>59</v>
      </c>
      <c r="B47">
        <f>Hyd_Label_Water_RE_lineweight</f>
        <v>25</v>
      </c>
    </row>
    <row r="48" spans="1:2" x14ac:dyDescent="0.25">
      <c r="A48" t="s">
        <v>60</v>
      </c>
      <c r="B48">
        <f>Hyd_Label_Water_HW_lineweight</f>
        <v>25</v>
      </c>
    </row>
    <row r="49" spans="1:2" x14ac:dyDescent="0.25">
      <c r="A49" t="s">
        <v>61</v>
      </c>
      <c r="B49">
        <f>Hyd_Label_Water_HWR_lineweight</f>
        <v>25</v>
      </c>
    </row>
    <row r="50" spans="1:2" x14ac:dyDescent="0.25">
      <c r="A50" t="s">
        <v>62</v>
      </c>
      <c r="B50">
        <f>Hyd_Label_Water_WW_lineweight</f>
        <v>25</v>
      </c>
    </row>
    <row r="51" spans="1:2" x14ac:dyDescent="0.25">
      <c r="A51" t="s">
        <v>63</v>
      </c>
      <c r="B51">
        <f>Hyd_Label_Gas_G_lineweight</f>
        <v>25</v>
      </c>
    </row>
    <row r="52" spans="1:2" x14ac:dyDescent="0.25">
      <c r="A52" t="s">
        <v>64</v>
      </c>
      <c r="B52">
        <f>Hyd_Label_Stormwater_STW_lineweight</f>
        <v>25</v>
      </c>
    </row>
    <row r="53" spans="1:2" x14ac:dyDescent="0.25">
      <c r="A53" t="s">
        <v>65</v>
      </c>
      <c r="B53">
        <f>Hyd_Label_Stormwater_SS_lineweight</f>
        <v>25</v>
      </c>
    </row>
    <row r="54" spans="1:2" x14ac:dyDescent="0.25">
      <c r="A54" t="s">
        <v>66</v>
      </c>
      <c r="B54">
        <f>Hyd_Label_Sanitary_SD_lineweight</f>
        <v>25</v>
      </c>
    </row>
    <row r="55" spans="1:2" x14ac:dyDescent="0.25">
      <c r="A55" t="s">
        <v>67</v>
      </c>
      <c r="B55">
        <f>Hyd_Label_Sanitary_SP_lineweight</f>
        <v>25</v>
      </c>
    </row>
    <row r="56" spans="1:2" x14ac:dyDescent="0.25">
      <c r="A56" t="s">
        <v>68</v>
      </c>
      <c r="B56">
        <f>Hyd_Label_Sanitary_SW_lineweight</f>
        <v>25</v>
      </c>
    </row>
    <row r="57" spans="1:2" x14ac:dyDescent="0.25">
      <c r="A57" t="s">
        <v>69</v>
      </c>
      <c r="B57">
        <f>Hyd_Label_Sanitary_TW_lineweight</f>
        <v>25</v>
      </c>
    </row>
    <row r="58" spans="1:2" x14ac:dyDescent="0.25">
      <c r="A58" t="s">
        <v>70</v>
      </c>
      <c r="B58">
        <f>Hyd_Label_Sanitary_VP_lineweight</f>
        <v>25</v>
      </c>
    </row>
    <row r="59" spans="1:2" x14ac:dyDescent="0.25">
      <c r="A59" t="s">
        <v>71</v>
      </c>
      <c r="B59">
        <f>Hyd_Label_Fire_FH_lineweight</f>
        <v>25</v>
      </c>
    </row>
    <row r="60" spans="1:2" x14ac:dyDescent="0.25">
      <c r="A60" t="s">
        <v>72</v>
      </c>
      <c r="B60">
        <f>Hyd_Label_Fire_FHR_lineweight</f>
        <v>25</v>
      </c>
    </row>
    <row r="61" spans="1:2" x14ac:dyDescent="0.25">
      <c r="A61" t="s">
        <v>73</v>
      </c>
      <c r="B61">
        <f>Hyd_Label_Fire_FS_lineweight</f>
        <v>25</v>
      </c>
    </row>
    <row r="62" spans="1:2" x14ac:dyDescent="0.25">
      <c r="A62" t="s">
        <v>74</v>
      </c>
      <c r="B62">
        <f>Hyd_Symbol_lineweight</f>
        <v>25</v>
      </c>
    </row>
    <row r="63" spans="1:2" x14ac:dyDescent="0.25">
      <c r="A63" t="s">
        <v>75</v>
      </c>
      <c r="B63">
        <f>Hyd_Symbol_Valve_lineweight</f>
        <v>25</v>
      </c>
    </row>
    <row r="64" spans="1:2" x14ac:dyDescent="0.25">
      <c r="A64" t="s">
        <v>76</v>
      </c>
      <c r="B64">
        <f>Hyd_Symbol_Sanitary_Fixture_lineweight</f>
        <v>25</v>
      </c>
    </row>
    <row r="65" spans="1:2" x14ac:dyDescent="0.25">
      <c r="A65" t="s">
        <v>77</v>
      </c>
      <c r="B65">
        <f>Hyd_Symbol_Water_Fixture_lineweight</f>
        <v>25</v>
      </c>
    </row>
    <row r="66" spans="1:2" x14ac:dyDescent="0.25">
      <c r="A66" t="s">
        <v>78</v>
      </c>
      <c r="B66">
        <f>Hyd_Symbol_Gas_Fixture_lineweight</f>
        <v>25</v>
      </c>
    </row>
    <row r="67" spans="1:2" x14ac:dyDescent="0.25">
      <c r="A67" t="s">
        <v>79</v>
      </c>
      <c r="B67">
        <f>Hyd_Symbol_Stormwater_Fixture_lineweight</f>
        <v>25</v>
      </c>
    </row>
    <row r="68" spans="1:2" x14ac:dyDescent="0.25">
      <c r="A68" t="s">
        <v>80</v>
      </c>
      <c r="B68">
        <f>Hyd_Symbol_Fire_Fixture_lineweight</f>
        <v>25</v>
      </c>
    </row>
    <row r="69" spans="1:2" x14ac:dyDescent="0.25">
      <c r="A69" t="s">
        <v>81</v>
      </c>
      <c r="B69">
        <f>Hyd_Symbol_Water_CW_lineweight</f>
        <v>25</v>
      </c>
    </row>
    <row r="70" spans="1:2" x14ac:dyDescent="0.25">
      <c r="A70" t="s">
        <v>82</v>
      </c>
      <c r="B70">
        <f>Hyd_Symbol_Water_RE_lineweight</f>
        <v>25</v>
      </c>
    </row>
    <row r="71" spans="1:2" x14ac:dyDescent="0.25">
      <c r="A71" t="s">
        <v>83</v>
      </c>
      <c r="B71">
        <f>Hyd_Symbol_Water_HW_lineweight</f>
        <v>25</v>
      </c>
    </row>
    <row r="72" spans="1:2" x14ac:dyDescent="0.25">
      <c r="A72" t="s">
        <v>84</v>
      </c>
      <c r="B72">
        <f>Hyd_Symbol_Water_HWR_lineweight</f>
        <v>25</v>
      </c>
    </row>
    <row r="73" spans="1:2" x14ac:dyDescent="0.25">
      <c r="A73" t="s">
        <v>85</v>
      </c>
      <c r="B73">
        <f>Hyd_Symbol_Water_WW_lineweight</f>
        <v>25</v>
      </c>
    </row>
    <row r="74" spans="1:2" x14ac:dyDescent="0.25">
      <c r="A74" t="s">
        <v>86</v>
      </c>
      <c r="B74">
        <f>Hyd_Symbol_Gas_G_lineweight</f>
        <v>25</v>
      </c>
    </row>
    <row r="75" spans="1:2" x14ac:dyDescent="0.25">
      <c r="A75" t="s">
        <v>87</v>
      </c>
      <c r="B75">
        <f>Hyd_Symbol_Stormwater_STW_lineweight</f>
        <v>25</v>
      </c>
    </row>
    <row r="76" spans="1:2" x14ac:dyDescent="0.25">
      <c r="A76" t="s">
        <v>88</v>
      </c>
      <c r="B76">
        <f>Hyd_Symbol_Stormwater_SS_lineweight</f>
        <v>25</v>
      </c>
    </row>
    <row r="77" spans="1:2" x14ac:dyDescent="0.25">
      <c r="A77" t="s">
        <v>89</v>
      </c>
      <c r="B77">
        <f>Hyd_Symbol_Sanitary_SD_lineweight</f>
        <v>25</v>
      </c>
    </row>
    <row r="78" spans="1:2" x14ac:dyDescent="0.25">
      <c r="A78" t="s">
        <v>90</v>
      </c>
      <c r="B78">
        <f>Hyd_Symbol_Sanitary_SP_lineweight</f>
        <v>25</v>
      </c>
    </row>
    <row r="79" spans="1:2" x14ac:dyDescent="0.25">
      <c r="A79" t="s">
        <v>91</v>
      </c>
      <c r="B79">
        <f>Hyd_Symbol_Sanitary_SW_lineweight</f>
        <v>25</v>
      </c>
    </row>
    <row r="80" spans="1:2" x14ac:dyDescent="0.25">
      <c r="A80" t="s">
        <v>92</v>
      </c>
      <c r="B80">
        <f>Hyd_Symbol_Sanitary_TW_lineweight</f>
        <v>25</v>
      </c>
    </row>
    <row r="81" spans="1:2" x14ac:dyDescent="0.25">
      <c r="A81" t="s">
        <v>93</v>
      </c>
      <c r="B81">
        <f>Hyd_Symbol_Sanitary_VP_lineweight</f>
        <v>25</v>
      </c>
    </row>
    <row r="82" spans="1:2" x14ac:dyDescent="0.25">
      <c r="A82" t="s">
        <v>94</v>
      </c>
      <c r="B82">
        <f>Hyd_Symbol_Fire_FH_lineweight</f>
        <v>25</v>
      </c>
    </row>
    <row r="83" spans="1:2" x14ac:dyDescent="0.25">
      <c r="A83" t="s">
        <v>95</v>
      </c>
      <c r="B83">
        <f>Hyd_Symbol_Fire_FHR_lineweight</f>
        <v>25</v>
      </c>
    </row>
    <row r="84" spans="1:2" x14ac:dyDescent="0.25">
      <c r="A84" t="s">
        <v>96</v>
      </c>
      <c r="B84">
        <f>Hyd_Symbol_Fire_FS_lineweight</f>
        <v>25</v>
      </c>
    </row>
  </sheetData>
  <sheetProtection sheet="1" selectLockedCells="1" selectUnlockedCells="1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8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40" customWidth="1"/>
  </cols>
  <sheetData>
    <row r="1" spans="1:2" x14ac:dyDescent="0.25">
      <c r="A1" t="s">
        <v>0</v>
      </c>
      <c r="B1" t="s">
        <v>3</v>
      </c>
    </row>
    <row r="2" spans="1:2" x14ac:dyDescent="0.25">
      <c r="A2" t="s">
        <v>4</v>
      </c>
      <c r="B2" t="str">
        <f>Hyd_Pipe_Water_CW_linetype</f>
        <v>HYD_COLD_WATER</v>
      </c>
    </row>
    <row r="3" spans="1:2" x14ac:dyDescent="0.25">
      <c r="A3" t="s">
        <v>6</v>
      </c>
      <c r="B3" t="str">
        <f>Hyd_Pipe_Water_RE_linetype</f>
        <v>HYD_RE_USE</v>
      </c>
    </row>
    <row r="4" spans="1:2" x14ac:dyDescent="0.25">
      <c r="A4" t="s">
        <v>8</v>
      </c>
      <c r="B4" t="str">
        <f>Hyd_Pipe_Water_HW_linetype</f>
        <v>HYD_HOT_WATER</v>
      </c>
    </row>
    <row r="5" spans="1:2" x14ac:dyDescent="0.25">
      <c r="A5" t="s">
        <v>10</v>
      </c>
      <c r="B5" t="str">
        <f>Hyd_Pipe_Water_HWR_linetype</f>
        <v>HYD_HOT_WATER_RETURN</v>
      </c>
    </row>
    <row r="6" spans="1:2" x14ac:dyDescent="0.25">
      <c r="A6" t="s">
        <v>12</v>
      </c>
      <c r="B6" t="str">
        <f>Hyd_Pipe_Water_WW_linetype</f>
        <v>HYD_WARM_WATER</v>
      </c>
    </row>
    <row r="7" spans="1:2" x14ac:dyDescent="0.25">
      <c r="A7" t="s">
        <v>14</v>
      </c>
      <c r="B7" t="str">
        <f>Hyd_Pipe_Gas_G_linetype</f>
        <v>HYD_GAS</v>
      </c>
    </row>
    <row r="8" spans="1:2" x14ac:dyDescent="0.25">
      <c r="A8" t="s">
        <v>16</v>
      </c>
      <c r="B8" t="str">
        <f>Hyd_Pipe_Stormwater_STW_linetype</f>
        <v>HYD_STORMWATER</v>
      </c>
    </row>
    <row r="9" spans="1:2" x14ac:dyDescent="0.25">
      <c r="A9" t="s">
        <v>18</v>
      </c>
      <c r="B9" t="str">
        <f>Hyd_Pipe_Stormwater_SS_linetype</f>
        <v>HYD_SUB_SOIL</v>
      </c>
    </row>
    <row r="10" spans="1:2" x14ac:dyDescent="0.25">
      <c r="A10" t="s">
        <v>20</v>
      </c>
      <c r="B10" t="str">
        <f>Hyd_Pipe_Sanitary_SD_linetype</f>
        <v>Continuous</v>
      </c>
    </row>
    <row r="11" spans="1:2" x14ac:dyDescent="0.25">
      <c r="A11" t="s">
        <v>22</v>
      </c>
      <c r="B11" t="str">
        <f>Hyd_Pipe_Sanitary_SP_linetype</f>
        <v>Continuous</v>
      </c>
    </row>
    <row r="12" spans="1:2" x14ac:dyDescent="0.25">
      <c r="A12" t="s">
        <v>23</v>
      </c>
      <c r="B12" t="str">
        <f>Hyd_Pipe_Sanitary_SW_linetype</f>
        <v>Continuous</v>
      </c>
    </row>
    <row r="13" spans="1:2" x14ac:dyDescent="0.25">
      <c r="A13" t="s">
        <v>24</v>
      </c>
      <c r="B13" t="str">
        <f>Hyd_Pipe_Sanitary_TW_linetype</f>
        <v>Continuous</v>
      </c>
    </row>
    <row r="14" spans="1:2" x14ac:dyDescent="0.25">
      <c r="A14" t="s">
        <v>25</v>
      </c>
      <c r="B14" t="str">
        <f>Hyd_Pipe_Sanitary_VP_linetype</f>
        <v>HYD_VENT</v>
      </c>
    </row>
    <row r="15" spans="1:2" x14ac:dyDescent="0.25">
      <c r="A15" t="s">
        <v>27</v>
      </c>
      <c r="B15" t="str">
        <f>Hyd_Pipe_Fire_FH_linetype</f>
        <v>Continuous</v>
      </c>
    </row>
    <row r="16" spans="1:2" x14ac:dyDescent="0.25">
      <c r="A16" t="s">
        <v>28</v>
      </c>
      <c r="B16" t="str">
        <f>Hyd_Pipe_Fire_FHR_linetype</f>
        <v>Continuous</v>
      </c>
    </row>
    <row r="17" spans="1:2" x14ac:dyDescent="0.25">
      <c r="A17" t="s">
        <v>29</v>
      </c>
      <c r="B17" t="str">
        <f>Hyd_Pipe_Fire_FS_linetype</f>
        <v>Continuous</v>
      </c>
    </row>
    <row r="18" spans="1:2" x14ac:dyDescent="0.25">
      <c r="A18" t="s">
        <v>30</v>
      </c>
      <c r="B18" t="str">
        <f>Hyd_Comment_Info_linetype</f>
        <v>Continuous</v>
      </c>
    </row>
    <row r="19" spans="1:2" x14ac:dyDescent="0.25">
      <c r="A19" t="s">
        <v>31</v>
      </c>
      <c r="B19" t="str">
        <f>Hyd_Comment_Calc_linetype</f>
        <v>Continuous</v>
      </c>
    </row>
    <row r="20" spans="1:2" x14ac:dyDescent="0.25">
      <c r="A20" t="s">
        <v>32</v>
      </c>
      <c r="B20" t="str">
        <f>Hyd_Comment_Note_linetype</f>
        <v>Continuous</v>
      </c>
    </row>
    <row r="21" spans="1:2" x14ac:dyDescent="0.25">
      <c r="A21" t="s">
        <v>33</v>
      </c>
      <c r="B21" t="str">
        <f>Hyd_Comment_ToDo_linetype</f>
        <v>Continuous</v>
      </c>
    </row>
    <row r="22" spans="1:2" x14ac:dyDescent="0.25">
      <c r="A22" t="s">
        <v>34</v>
      </c>
      <c r="B22" t="str">
        <f>Hyd_MLine_linetype</f>
        <v>Continuous</v>
      </c>
    </row>
    <row r="23" spans="1:2" x14ac:dyDescent="0.25">
      <c r="A23" t="s">
        <v>35</v>
      </c>
      <c r="B23" t="str">
        <f>Hyd_Hatch_General_linetype</f>
        <v>Continuous</v>
      </c>
    </row>
    <row r="24" spans="1:2" x14ac:dyDescent="0.25">
      <c r="A24" t="s">
        <v>36</v>
      </c>
      <c r="B24" t="str">
        <f>Hyd_Hatch_Sound_linetype</f>
        <v>Continuous</v>
      </c>
    </row>
    <row r="25" spans="1:2" x14ac:dyDescent="0.25">
      <c r="A25" t="s">
        <v>37</v>
      </c>
      <c r="B25" t="str">
        <f>Hyd_Hatch_Conc_linetype</f>
        <v>Continuous</v>
      </c>
    </row>
    <row r="26" spans="1:2" x14ac:dyDescent="0.25">
      <c r="A26" t="s">
        <v>38</v>
      </c>
      <c r="B26" t="str">
        <f>Hyd_Hatch_Heat_linetype</f>
        <v>Continuous</v>
      </c>
    </row>
    <row r="27" spans="1:2" x14ac:dyDescent="0.25">
      <c r="A27" t="s">
        <v>39</v>
      </c>
      <c r="B27" t="str">
        <f>Hyd_Existing_x_linetype</f>
        <v>Hyd_Existing_x</v>
      </c>
    </row>
    <row r="28" spans="1:2" x14ac:dyDescent="0.25">
      <c r="A28" t="s">
        <v>40</v>
      </c>
      <c r="B28" t="str">
        <f>Hyd_Existing_e_linetype</f>
        <v>Hyd_Existing_e</v>
      </c>
    </row>
    <row r="29" spans="1:2" x14ac:dyDescent="0.25">
      <c r="A29" t="s">
        <v>41</v>
      </c>
      <c r="B29" t="str">
        <f>Hyd_Existing_w_linetype</f>
        <v>Hyd_Existing_w</v>
      </c>
    </row>
    <row r="30" spans="1:2" x14ac:dyDescent="0.25">
      <c r="A30" t="s">
        <v>42</v>
      </c>
      <c r="B30" t="str">
        <f>Hyd_Existing_s_linetype</f>
        <v>Hyd_Existing_s</v>
      </c>
    </row>
    <row r="31" spans="1:2" x14ac:dyDescent="0.25">
      <c r="A31" t="s">
        <v>43</v>
      </c>
      <c r="B31" t="str">
        <f>Hyd_Existing_g_linetype</f>
        <v>Hyd_Existing_g</v>
      </c>
    </row>
    <row r="32" spans="1:2" x14ac:dyDescent="0.25">
      <c r="A32" t="s">
        <v>44</v>
      </c>
      <c r="B32" t="str">
        <f>Hyd_Label_linetype</f>
        <v>Continuous</v>
      </c>
    </row>
    <row r="33" spans="1:2" x14ac:dyDescent="0.25">
      <c r="A33" t="s">
        <v>45</v>
      </c>
      <c r="B33" t="str">
        <f>Hyd_Label_Hex_linetype</f>
        <v>Continuous</v>
      </c>
    </row>
    <row r="34" spans="1:2" x14ac:dyDescent="0.25">
      <c r="A34" t="s">
        <v>46</v>
      </c>
      <c r="B34" t="str">
        <f>Hyd_Label_Rev_linetype</f>
        <v>Continuous</v>
      </c>
    </row>
    <row r="35" spans="1:2" x14ac:dyDescent="0.25">
      <c r="A35" t="s">
        <v>47</v>
      </c>
      <c r="B35" t="str">
        <f>Hyd_Label_Cloud_linetype</f>
        <v>Continuous</v>
      </c>
    </row>
    <row r="36" spans="1:2" x14ac:dyDescent="0.25">
      <c r="A36" t="s">
        <v>48</v>
      </c>
      <c r="B36" t="str">
        <f>Hyd_Label_Leader_linetype</f>
        <v>Continuous</v>
      </c>
    </row>
    <row r="37" spans="1:2" x14ac:dyDescent="0.25">
      <c r="A37" t="s">
        <v>49</v>
      </c>
      <c r="B37" t="str">
        <f>Hyd_Label_Dim_linetype</f>
        <v>Continuous</v>
      </c>
    </row>
    <row r="38" spans="1:2" x14ac:dyDescent="0.25">
      <c r="A38" t="s">
        <v>50</v>
      </c>
      <c r="B38" t="str">
        <f>Hyd_Label_General_linetype</f>
        <v>Continuous</v>
      </c>
    </row>
    <row r="39" spans="1:2" x14ac:dyDescent="0.25">
      <c r="A39" t="s">
        <v>51</v>
      </c>
      <c r="B39" t="str">
        <f>Hyd_Label_Detail_linetype</f>
        <v>Continuous</v>
      </c>
    </row>
    <row r="40" spans="1:2" x14ac:dyDescent="0.25">
      <c r="A40" t="s">
        <v>52</v>
      </c>
      <c r="B40" t="str">
        <f>Hyd_Label_Text200_linetype</f>
        <v>Continuous</v>
      </c>
    </row>
    <row r="41" spans="1:2" x14ac:dyDescent="0.25">
      <c r="A41" t="s">
        <v>53</v>
      </c>
      <c r="B41" t="str">
        <f>Hyd_Label_Text250_linetype</f>
        <v>Continuous</v>
      </c>
    </row>
    <row r="42" spans="1:2" x14ac:dyDescent="0.25">
      <c r="A42" t="s">
        <v>54</v>
      </c>
      <c r="B42" t="str">
        <f>Hyd_Label_Text300_linetype</f>
        <v>Continuous</v>
      </c>
    </row>
    <row r="43" spans="1:2" x14ac:dyDescent="0.25">
      <c r="A43" t="s">
        <v>55</v>
      </c>
      <c r="B43" t="str">
        <f>Hyd_Label_Text350_linetype</f>
        <v>Continuous</v>
      </c>
    </row>
    <row r="44" spans="1:2" x14ac:dyDescent="0.25">
      <c r="A44" t="s">
        <v>56</v>
      </c>
      <c r="B44" t="str">
        <f>Hyd_Label_Text500_linetype</f>
        <v>Continuous</v>
      </c>
    </row>
    <row r="45" spans="1:2" x14ac:dyDescent="0.25">
      <c r="A45" t="s">
        <v>57</v>
      </c>
      <c r="B45" t="str">
        <f>Hyd_Label_Text700_linetype</f>
        <v>Continuous</v>
      </c>
    </row>
    <row r="46" spans="1:2" x14ac:dyDescent="0.25">
      <c r="A46" t="s">
        <v>58</v>
      </c>
      <c r="B46" t="str">
        <f>Hyd_Label_Water_CW_linetype</f>
        <v>Continuous</v>
      </c>
    </row>
    <row r="47" spans="1:2" x14ac:dyDescent="0.25">
      <c r="A47" t="s">
        <v>59</v>
      </c>
      <c r="B47" t="str">
        <f>Hyd_Label_Water_RE_linetype</f>
        <v>Continuous</v>
      </c>
    </row>
    <row r="48" spans="1:2" x14ac:dyDescent="0.25">
      <c r="A48" t="s">
        <v>60</v>
      </c>
      <c r="B48" t="str">
        <f>Hyd_Label_Water_HW_linetype</f>
        <v>Continuous</v>
      </c>
    </row>
    <row r="49" spans="1:2" x14ac:dyDescent="0.25">
      <c r="A49" t="s">
        <v>61</v>
      </c>
      <c r="B49" t="str">
        <f>Hyd_Label_Water_HWR_linetype</f>
        <v>Continuous</v>
      </c>
    </row>
    <row r="50" spans="1:2" x14ac:dyDescent="0.25">
      <c r="A50" t="s">
        <v>62</v>
      </c>
      <c r="B50" t="str">
        <f>Hyd_Label_Water_WW_linetype</f>
        <v>Continuous</v>
      </c>
    </row>
    <row r="51" spans="1:2" x14ac:dyDescent="0.25">
      <c r="A51" t="s">
        <v>63</v>
      </c>
      <c r="B51" t="str">
        <f>Hyd_Label_Gas_G_linetype</f>
        <v>Continuous</v>
      </c>
    </row>
    <row r="52" spans="1:2" x14ac:dyDescent="0.25">
      <c r="A52" t="s">
        <v>64</v>
      </c>
      <c r="B52" t="str">
        <f>Hyd_Label_Stormwater_STW_linetype</f>
        <v>Continuous</v>
      </c>
    </row>
    <row r="53" spans="1:2" x14ac:dyDescent="0.25">
      <c r="A53" t="s">
        <v>65</v>
      </c>
      <c r="B53" t="str">
        <f>Hyd_Label_Stormwater_SS_linetype</f>
        <v>Continuous</v>
      </c>
    </row>
    <row r="54" spans="1:2" x14ac:dyDescent="0.25">
      <c r="A54" t="s">
        <v>66</v>
      </c>
      <c r="B54" t="str">
        <f>Hyd_Label_Sanitary_SD_linetype</f>
        <v>Continuous</v>
      </c>
    </row>
    <row r="55" spans="1:2" x14ac:dyDescent="0.25">
      <c r="A55" t="s">
        <v>67</v>
      </c>
      <c r="B55" t="str">
        <f>Hyd_Label_Sanitary_SP_linetype</f>
        <v>Continuous</v>
      </c>
    </row>
    <row r="56" spans="1:2" x14ac:dyDescent="0.25">
      <c r="A56" t="s">
        <v>68</v>
      </c>
      <c r="B56" t="str">
        <f>Hyd_Label_Sanitary_SW_linetype</f>
        <v>Continuous</v>
      </c>
    </row>
    <row r="57" spans="1:2" x14ac:dyDescent="0.25">
      <c r="A57" t="s">
        <v>69</v>
      </c>
      <c r="B57" t="str">
        <f>Hyd_Label_Sanitary_TW_linetype</f>
        <v>Continuous</v>
      </c>
    </row>
    <row r="58" spans="1:2" x14ac:dyDescent="0.25">
      <c r="A58" t="s">
        <v>70</v>
      </c>
      <c r="B58" t="str">
        <f>Hyd_Label_Sanitary_VP_linetype</f>
        <v>Continuous</v>
      </c>
    </row>
    <row r="59" spans="1:2" x14ac:dyDescent="0.25">
      <c r="A59" t="s">
        <v>71</v>
      </c>
      <c r="B59" t="str">
        <f>Hyd_Label_Fire_FH_linetype</f>
        <v>Continuous</v>
      </c>
    </row>
    <row r="60" spans="1:2" x14ac:dyDescent="0.25">
      <c r="A60" t="s">
        <v>72</v>
      </c>
      <c r="B60" t="str">
        <f>Hyd_Label_Fire_FHR_linetype</f>
        <v>Continuous</v>
      </c>
    </row>
    <row r="61" spans="1:2" x14ac:dyDescent="0.25">
      <c r="A61" t="s">
        <v>73</v>
      </c>
      <c r="B61" t="str">
        <f>Hyd_Label_Fire_FS_linetype</f>
        <v>Continuous</v>
      </c>
    </row>
    <row r="62" spans="1:2" x14ac:dyDescent="0.25">
      <c r="A62" t="s">
        <v>74</v>
      </c>
      <c r="B62" t="str">
        <f>Hyd_Symbol_linetype</f>
        <v>Continuous</v>
      </c>
    </row>
    <row r="63" spans="1:2" x14ac:dyDescent="0.25">
      <c r="A63" t="s">
        <v>75</v>
      </c>
      <c r="B63" t="str">
        <f>Hyd_Symbol_Valve_linetype</f>
        <v>Continuous</v>
      </c>
    </row>
    <row r="64" spans="1:2" x14ac:dyDescent="0.25">
      <c r="A64" t="s">
        <v>76</v>
      </c>
      <c r="B64" t="str">
        <f>Hyd_Symbol_Sanitary_Fixture_linetype</f>
        <v>Continuous</v>
      </c>
    </row>
    <row r="65" spans="1:2" x14ac:dyDescent="0.25">
      <c r="A65" t="s">
        <v>77</v>
      </c>
      <c r="B65" t="str">
        <f>Hyd_Symbol_Water_Fixture_linetype</f>
        <v>Continuous</v>
      </c>
    </row>
    <row r="66" spans="1:2" x14ac:dyDescent="0.25">
      <c r="A66" t="s">
        <v>78</v>
      </c>
      <c r="B66" t="str">
        <f>Hyd_Symbol_Gas_Fixture_linetype</f>
        <v>Continuous</v>
      </c>
    </row>
    <row r="67" spans="1:2" x14ac:dyDescent="0.25">
      <c r="A67" t="s">
        <v>79</v>
      </c>
      <c r="B67" t="str">
        <f>Hyd_Symbol_Stormwater_Fixture_linetype</f>
        <v>Continuous</v>
      </c>
    </row>
    <row r="68" spans="1:2" x14ac:dyDescent="0.25">
      <c r="A68" t="s">
        <v>80</v>
      </c>
      <c r="B68" t="str">
        <f>Hyd_Symbol_Fire_Fixture_linetype</f>
        <v>Continuous</v>
      </c>
    </row>
    <row r="69" spans="1:2" x14ac:dyDescent="0.25">
      <c r="A69" t="s">
        <v>81</v>
      </c>
      <c r="B69" t="str">
        <f>Hyd_Symbol_Water_CW_linetype</f>
        <v>Continuous</v>
      </c>
    </row>
    <row r="70" spans="1:2" x14ac:dyDescent="0.25">
      <c r="A70" t="s">
        <v>82</v>
      </c>
      <c r="B70" t="str">
        <f>Hyd_Symbol_Water_RE_linetype</f>
        <v>Continuous</v>
      </c>
    </row>
    <row r="71" spans="1:2" x14ac:dyDescent="0.25">
      <c r="A71" t="s">
        <v>83</v>
      </c>
      <c r="B71" t="str">
        <f>Hyd_Symbol_Water_HW_linetype</f>
        <v>Continuous</v>
      </c>
    </row>
    <row r="72" spans="1:2" x14ac:dyDescent="0.25">
      <c r="A72" t="s">
        <v>84</v>
      </c>
      <c r="B72" t="str">
        <f>Hyd_Symbol_Water_HWR_linetype</f>
        <v>Continuous</v>
      </c>
    </row>
    <row r="73" spans="1:2" x14ac:dyDescent="0.25">
      <c r="A73" t="s">
        <v>85</v>
      </c>
      <c r="B73" t="str">
        <f>Hyd_Symbol_Water_WW_linetype</f>
        <v>Continuous</v>
      </c>
    </row>
    <row r="74" spans="1:2" x14ac:dyDescent="0.25">
      <c r="A74" t="s">
        <v>86</v>
      </c>
      <c r="B74" t="str">
        <f>Hyd_Symbol_Gas_G_linetype</f>
        <v>Continuous</v>
      </c>
    </row>
    <row r="75" spans="1:2" x14ac:dyDescent="0.25">
      <c r="A75" t="s">
        <v>87</v>
      </c>
      <c r="B75" t="str">
        <f>Hyd_Symbol_Stormwater_STW_linetype</f>
        <v>Continuous</v>
      </c>
    </row>
    <row r="76" spans="1:2" x14ac:dyDescent="0.25">
      <c r="A76" t="s">
        <v>88</v>
      </c>
      <c r="B76" t="str">
        <f>Hyd_Symbol_Stormwater_SS_linetype</f>
        <v>Continuous</v>
      </c>
    </row>
    <row r="77" spans="1:2" x14ac:dyDescent="0.25">
      <c r="A77" t="s">
        <v>89</v>
      </c>
      <c r="B77" t="str">
        <f>Hyd_Symbol_Sanitary_SD_linetype</f>
        <v>Continuous</v>
      </c>
    </row>
    <row r="78" spans="1:2" x14ac:dyDescent="0.25">
      <c r="A78" t="s">
        <v>90</v>
      </c>
      <c r="B78" t="str">
        <f>Hyd_Symbol_Sanitary_SP_linetype</f>
        <v>Continuous</v>
      </c>
    </row>
    <row r="79" spans="1:2" x14ac:dyDescent="0.25">
      <c r="A79" t="s">
        <v>91</v>
      </c>
      <c r="B79" t="str">
        <f>Hyd_Symbol_Sanitary_SW_linetype</f>
        <v>Continuous</v>
      </c>
    </row>
    <row r="80" spans="1:2" x14ac:dyDescent="0.25">
      <c r="A80" t="s">
        <v>92</v>
      </c>
      <c r="B80" t="str">
        <f>Hyd_Symbol_Sanitary_TW_linetype</f>
        <v>Continuous</v>
      </c>
    </row>
    <row r="81" spans="1:2" x14ac:dyDescent="0.25">
      <c r="A81" t="s">
        <v>93</v>
      </c>
      <c r="B81" t="str">
        <f>Hyd_Symbol_Sanitary_VP_linetype</f>
        <v>Continuous</v>
      </c>
    </row>
    <row r="82" spans="1:2" x14ac:dyDescent="0.25">
      <c r="A82" t="s">
        <v>94</v>
      </c>
      <c r="B82" t="str">
        <f>Hyd_Symbol_Fire_FH_linetype</f>
        <v>Continuous</v>
      </c>
    </row>
    <row r="83" spans="1:2" x14ac:dyDescent="0.25">
      <c r="A83" t="s">
        <v>95</v>
      </c>
      <c r="B83" t="str">
        <f>Hyd_Symbol_Fire_FHR_linetype</f>
        <v>Continuous</v>
      </c>
    </row>
    <row r="84" spans="1:2" x14ac:dyDescent="0.25">
      <c r="A84" t="s">
        <v>96</v>
      </c>
      <c r="B84" t="str">
        <f>Hyd_Symbol_Fire_FS_linetype</f>
        <v>Continuous</v>
      </c>
    </row>
  </sheetData>
  <sheetProtection sheet="1" selectLockedCells="1" selectUnlockedCells="1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332</vt:i4>
      </vt:variant>
    </vt:vector>
  </HeadingPairs>
  <TitlesOfParts>
    <vt:vector size="337" baseType="lpstr">
      <vt:lpstr>DATA EDITOR</vt:lpstr>
      <vt:lpstr>Pipes View</vt:lpstr>
      <vt:lpstr>Colors View</vt:lpstr>
      <vt:lpstr>Lineweights View</vt:lpstr>
      <vt:lpstr>Linetypes View</vt:lpstr>
      <vt:lpstr>Hyd_Comment_Calc_color</vt:lpstr>
      <vt:lpstr>Hyd_Comment_Calc_linetype</vt:lpstr>
      <vt:lpstr>Hyd_Comment_Calc_lineweight</vt:lpstr>
      <vt:lpstr>Hyd_Comment_Calc_name</vt:lpstr>
      <vt:lpstr>Hyd_Comment_Info_color</vt:lpstr>
      <vt:lpstr>Hyd_Comment_Info_linetype</vt:lpstr>
      <vt:lpstr>Hyd_Comment_Info_lineweight</vt:lpstr>
      <vt:lpstr>Hyd_Comment_Info_name</vt:lpstr>
      <vt:lpstr>Hyd_Comment_Note_color</vt:lpstr>
      <vt:lpstr>Hyd_Comment_Note_linetype</vt:lpstr>
      <vt:lpstr>Hyd_Comment_Note_lineweight</vt:lpstr>
      <vt:lpstr>Hyd_Comment_Note_name</vt:lpstr>
      <vt:lpstr>Hyd_Comment_ToDo_color</vt:lpstr>
      <vt:lpstr>Hyd_Comment_ToDo_linetype</vt:lpstr>
      <vt:lpstr>Hyd_Comment_ToDo_lineweight</vt:lpstr>
      <vt:lpstr>Hyd_Comment_ToDo_name</vt:lpstr>
      <vt:lpstr>Hyd_Existing_e_color</vt:lpstr>
      <vt:lpstr>Hyd_Existing_e_linetype</vt:lpstr>
      <vt:lpstr>Hyd_Existing_e_lineweight</vt:lpstr>
      <vt:lpstr>Hyd_Existing_e_name</vt:lpstr>
      <vt:lpstr>Hyd_Existing_g_color</vt:lpstr>
      <vt:lpstr>Hyd_Existing_g_linetype</vt:lpstr>
      <vt:lpstr>Hyd_Existing_g_lineweight</vt:lpstr>
      <vt:lpstr>Hyd_Existing_g_name</vt:lpstr>
      <vt:lpstr>Hyd_Existing_s_color</vt:lpstr>
      <vt:lpstr>Hyd_Existing_s_linetype</vt:lpstr>
      <vt:lpstr>Hyd_Existing_s_lineweight</vt:lpstr>
      <vt:lpstr>Hyd_Existing_s_name</vt:lpstr>
      <vt:lpstr>Hyd_Existing_w_color</vt:lpstr>
      <vt:lpstr>Hyd_Existing_w_linetype</vt:lpstr>
      <vt:lpstr>Hyd_Existing_w_lineweight</vt:lpstr>
      <vt:lpstr>Hyd_Existing_w_name</vt:lpstr>
      <vt:lpstr>Hyd_Existing_x_color</vt:lpstr>
      <vt:lpstr>Hyd_Existing_x_linetype</vt:lpstr>
      <vt:lpstr>Hyd_Existing_x_lineweight</vt:lpstr>
      <vt:lpstr>Hyd_Existing_x_name</vt:lpstr>
      <vt:lpstr>Hyd_Hatch_Conc_color</vt:lpstr>
      <vt:lpstr>Hyd_Hatch_Conc_linetype</vt:lpstr>
      <vt:lpstr>Hyd_Hatch_Conc_lineweight</vt:lpstr>
      <vt:lpstr>Hyd_Hatch_Conc_name</vt:lpstr>
      <vt:lpstr>Hyd_Hatch_General_color</vt:lpstr>
      <vt:lpstr>Hyd_Hatch_General_linetype</vt:lpstr>
      <vt:lpstr>Hyd_Hatch_General_lineweight</vt:lpstr>
      <vt:lpstr>Hyd_Hatch_General_name</vt:lpstr>
      <vt:lpstr>Hyd_Hatch_Heat_color</vt:lpstr>
      <vt:lpstr>Hyd_Hatch_Heat_linetype</vt:lpstr>
      <vt:lpstr>Hyd_Hatch_Heat_lineweight</vt:lpstr>
      <vt:lpstr>Hyd_Hatch_Heat_name</vt:lpstr>
      <vt:lpstr>Hyd_Hatch_Sound_color</vt:lpstr>
      <vt:lpstr>Hyd_Hatch_Sound_linetype</vt:lpstr>
      <vt:lpstr>Hyd_Hatch_Sound_lineweight</vt:lpstr>
      <vt:lpstr>Hyd_Hatch_Sound_name</vt:lpstr>
      <vt:lpstr>Hyd_Label_Cloud_color</vt:lpstr>
      <vt:lpstr>Hyd_Label_Cloud_linetype</vt:lpstr>
      <vt:lpstr>Hyd_Label_Cloud_lineweight</vt:lpstr>
      <vt:lpstr>Hyd_Label_Cloud_name</vt:lpstr>
      <vt:lpstr>Hyd_Label_color</vt:lpstr>
      <vt:lpstr>Hyd_Label_Detail_color</vt:lpstr>
      <vt:lpstr>Hyd_Label_Detail_linetype</vt:lpstr>
      <vt:lpstr>Hyd_Label_Detail_lineweight</vt:lpstr>
      <vt:lpstr>Hyd_Label_Detail_name</vt:lpstr>
      <vt:lpstr>Hyd_Label_Dim_color</vt:lpstr>
      <vt:lpstr>Hyd_Label_Dim_linetype</vt:lpstr>
      <vt:lpstr>Hyd_Label_Dim_lineweight</vt:lpstr>
      <vt:lpstr>Hyd_Label_Dim_name</vt:lpstr>
      <vt:lpstr>Hyd_Label_Fire_FH_color</vt:lpstr>
      <vt:lpstr>Hyd_Label_Fire_FH_linetype</vt:lpstr>
      <vt:lpstr>Hyd_Label_Fire_FH_lineweight</vt:lpstr>
      <vt:lpstr>Hyd_Label_Fire_FH_name</vt:lpstr>
      <vt:lpstr>Hyd_Label_Fire_FHR_color</vt:lpstr>
      <vt:lpstr>Hyd_Label_Fire_FHR_linetype</vt:lpstr>
      <vt:lpstr>Hyd_Label_Fire_FHR_lineweight</vt:lpstr>
      <vt:lpstr>Hyd_Label_Fire_FHR_name</vt:lpstr>
      <vt:lpstr>Hyd_Label_Fire_FS_color</vt:lpstr>
      <vt:lpstr>Hyd_Label_Fire_FS_linetype</vt:lpstr>
      <vt:lpstr>Hyd_Label_Fire_FS_lineweight</vt:lpstr>
      <vt:lpstr>Hyd_Label_Fire_FS_name</vt:lpstr>
      <vt:lpstr>Hyd_Label_Gas_G_color</vt:lpstr>
      <vt:lpstr>Hyd_Label_Gas_G_linetype</vt:lpstr>
      <vt:lpstr>Hyd_Label_Gas_G_lineweight</vt:lpstr>
      <vt:lpstr>Hyd_Label_Gas_G_name</vt:lpstr>
      <vt:lpstr>Hyd_Label_General_color</vt:lpstr>
      <vt:lpstr>Hyd_Label_General_linetype</vt:lpstr>
      <vt:lpstr>Hyd_Label_General_lineweight</vt:lpstr>
      <vt:lpstr>Hyd_Label_General_name</vt:lpstr>
      <vt:lpstr>Hyd_Label_Hex_color</vt:lpstr>
      <vt:lpstr>Hyd_Label_Hex_linetype</vt:lpstr>
      <vt:lpstr>Hyd_Label_Hex_lineweight</vt:lpstr>
      <vt:lpstr>Hyd_Label_Hex_name</vt:lpstr>
      <vt:lpstr>Hyd_Label_Leader_color</vt:lpstr>
      <vt:lpstr>Hyd_Label_Leader_linetype</vt:lpstr>
      <vt:lpstr>Hyd_Label_Leader_lineweight</vt:lpstr>
      <vt:lpstr>Hyd_Label_Leader_name</vt:lpstr>
      <vt:lpstr>Hyd_Label_linetype</vt:lpstr>
      <vt:lpstr>Hyd_Label_lineweight</vt:lpstr>
      <vt:lpstr>Hyd_Label_name</vt:lpstr>
      <vt:lpstr>Hyd_Label_Rev_color</vt:lpstr>
      <vt:lpstr>Hyd_Label_Rev_linetype</vt:lpstr>
      <vt:lpstr>Hyd_Label_Rev_lineweight</vt:lpstr>
      <vt:lpstr>Hyd_Label_Rev_name</vt:lpstr>
      <vt:lpstr>Hyd_Label_Sanitary_SD_color</vt:lpstr>
      <vt:lpstr>Hyd_Label_Sanitary_SD_linetype</vt:lpstr>
      <vt:lpstr>Hyd_Label_Sanitary_SD_lineweight</vt:lpstr>
      <vt:lpstr>Hyd_Label_Sanitary_SD_name</vt:lpstr>
      <vt:lpstr>Hyd_Label_Sanitary_SP_color</vt:lpstr>
      <vt:lpstr>Hyd_Label_Sanitary_SP_linetype</vt:lpstr>
      <vt:lpstr>Hyd_Label_Sanitary_SP_lineweight</vt:lpstr>
      <vt:lpstr>Hyd_Label_Sanitary_SP_name</vt:lpstr>
      <vt:lpstr>Hyd_Label_Sanitary_SW_color</vt:lpstr>
      <vt:lpstr>Hyd_Label_Sanitary_SW_linetype</vt:lpstr>
      <vt:lpstr>Hyd_Label_Sanitary_SW_lineweight</vt:lpstr>
      <vt:lpstr>Hyd_Label_Sanitary_SW_name</vt:lpstr>
      <vt:lpstr>Hyd_Label_Sanitary_TW_color</vt:lpstr>
      <vt:lpstr>Hyd_Label_Sanitary_TW_linetype</vt:lpstr>
      <vt:lpstr>Hyd_Label_Sanitary_TW_lineweight</vt:lpstr>
      <vt:lpstr>Hyd_Label_Sanitary_TW_name</vt:lpstr>
      <vt:lpstr>Hyd_Label_Sanitary_VP_color</vt:lpstr>
      <vt:lpstr>Hyd_Label_Sanitary_VP_linetype</vt:lpstr>
      <vt:lpstr>Hyd_Label_Sanitary_VP_lineweight</vt:lpstr>
      <vt:lpstr>Hyd_Label_Sanitary_VP_name</vt:lpstr>
      <vt:lpstr>Hyd_Label_Stormwater_SS_color</vt:lpstr>
      <vt:lpstr>Hyd_Label_Stormwater_SS_linetype</vt:lpstr>
      <vt:lpstr>Hyd_Label_Stormwater_SS_lineweight</vt:lpstr>
      <vt:lpstr>Hyd_Label_Stormwater_SS_name</vt:lpstr>
      <vt:lpstr>Hyd_Label_Stormwater_STW_color</vt:lpstr>
      <vt:lpstr>Hyd_Label_Stormwater_STW_linetype</vt:lpstr>
      <vt:lpstr>Hyd_Label_Stormwater_STW_lineweight</vt:lpstr>
      <vt:lpstr>Hyd_Label_Stormwater_STW_name</vt:lpstr>
      <vt:lpstr>Hyd_Label_Text200_color</vt:lpstr>
      <vt:lpstr>Hyd_Label_Text200_linetype</vt:lpstr>
      <vt:lpstr>Hyd_Label_Text200_lineweight</vt:lpstr>
      <vt:lpstr>Hyd_Label_Text200_name</vt:lpstr>
      <vt:lpstr>Hyd_Label_Text250_color</vt:lpstr>
      <vt:lpstr>Hyd_Label_Text250_linetype</vt:lpstr>
      <vt:lpstr>Hyd_Label_Text250_lineweight</vt:lpstr>
      <vt:lpstr>Hyd_Label_Text250_name</vt:lpstr>
      <vt:lpstr>Hyd_Label_Text300_color</vt:lpstr>
      <vt:lpstr>Hyd_Label_Text300_linetype</vt:lpstr>
      <vt:lpstr>Hyd_Label_Text300_lineweight</vt:lpstr>
      <vt:lpstr>Hyd_Label_Text300_name</vt:lpstr>
      <vt:lpstr>Hyd_Label_Text350_color</vt:lpstr>
      <vt:lpstr>Hyd_Label_Text350_linetype</vt:lpstr>
      <vt:lpstr>Hyd_Label_Text350_lineweight</vt:lpstr>
      <vt:lpstr>Hyd_Label_Text350_name</vt:lpstr>
      <vt:lpstr>Hyd_Label_Text500_color</vt:lpstr>
      <vt:lpstr>Hyd_Label_Text500_linetype</vt:lpstr>
      <vt:lpstr>Hyd_Label_Text500_lineweight</vt:lpstr>
      <vt:lpstr>Hyd_Label_Text500_name</vt:lpstr>
      <vt:lpstr>Hyd_Label_Text700_color</vt:lpstr>
      <vt:lpstr>Hyd_Label_Text700_linetype</vt:lpstr>
      <vt:lpstr>Hyd_Label_Text700_lineweight</vt:lpstr>
      <vt:lpstr>Hyd_Label_Text700_name</vt:lpstr>
      <vt:lpstr>Hyd_Label_Water_CW_color</vt:lpstr>
      <vt:lpstr>Hyd_Label_Water_CW_linetype</vt:lpstr>
      <vt:lpstr>Hyd_Label_Water_CW_lineweight</vt:lpstr>
      <vt:lpstr>Hyd_Label_Water_CW_name</vt:lpstr>
      <vt:lpstr>Hyd_Label_Water_HW_color</vt:lpstr>
      <vt:lpstr>Hyd_Label_Water_HW_linetype</vt:lpstr>
      <vt:lpstr>Hyd_Label_Water_HW_lineweight</vt:lpstr>
      <vt:lpstr>Hyd_Label_Water_HW_name</vt:lpstr>
      <vt:lpstr>Hyd_Label_Water_HWR_color</vt:lpstr>
      <vt:lpstr>Hyd_Label_Water_HWR_linetype</vt:lpstr>
      <vt:lpstr>Hyd_Label_Water_HWR_lineweight</vt:lpstr>
      <vt:lpstr>Hyd_Label_Water_HWR_name</vt:lpstr>
      <vt:lpstr>Hyd_Label_Water_RE_color</vt:lpstr>
      <vt:lpstr>Hyd_Label_Water_RE_linetype</vt:lpstr>
      <vt:lpstr>Hyd_Label_Water_RE_lineweight</vt:lpstr>
      <vt:lpstr>Hyd_Label_Water_RE_name</vt:lpstr>
      <vt:lpstr>Hyd_Label_Water_WW_color</vt:lpstr>
      <vt:lpstr>Hyd_Label_Water_WW_linetype</vt:lpstr>
      <vt:lpstr>Hyd_Label_Water_WW_lineweight</vt:lpstr>
      <vt:lpstr>Hyd_Label_Water_WW_name</vt:lpstr>
      <vt:lpstr>Hyd_MLine_color</vt:lpstr>
      <vt:lpstr>Hyd_MLine_linetype</vt:lpstr>
      <vt:lpstr>Hyd_MLine_lineweight</vt:lpstr>
      <vt:lpstr>Hyd_MLine_name</vt:lpstr>
      <vt:lpstr>Hyd_Pipe_Fire_FH_color</vt:lpstr>
      <vt:lpstr>Hyd_Pipe_Fire_FH_linetype</vt:lpstr>
      <vt:lpstr>Hyd_Pipe_Fire_FH_lineweight</vt:lpstr>
      <vt:lpstr>Hyd_Pipe_Fire_FH_name</vt:lpstr>
      <vt:lpstr>Hyd_Pipe_Fire_FHR_color</vt:lpstr>
      <vt:lpstr>Hyd_Pipe_Fire_FHR_linetype</vt:lpstr>
      <vt:lpstr>Hyd_Pipe_Fire_FHR_lineweight</vt:lpstr>
      <vt:lpstr>Hyd_Pipe_Fire_FHR_name</vt:lpstr>
      <vt:lpstr>Hyd_Pipe_Fire_FS_color</vt:lpstr>
      <vt:lpstr>Hyd_Pipe_Fire_FS_linetype</vt:lpstr>
      <vt:lpstr>Hyd_Pipe_Fire_FS_lineweight</vt:lpstr>
      <vt:lpstr>Hyd_Pipe_Fire_FS_name</vt:lpstr>
      <vt:lpstr>Hyd_Pipe_Gas_G_color</vt:lpstr>
      <vt:lpstr>Hyd_Pipe_Gas_G_linetype</vt:lpstr>
      <vt:lpstr>Hyd_Pipe_Gas_G_lineweight</vt:lpstr>
      <vt:lpstr>Hyd_Pipe_Gas_G_name</vt:lpstr>
      <vt:lpstr>Hyd_Pipe_Sanitary_SD_color</vt:lpstr>
      <vt:lpstr>Hyd_Pipe_Sanitary_SD_linetype</vt:lpstr>
      <vt:lpstr>Hyd_Pipe_Sanitary_SD_lineweight</vt:lpstr>
      <vt:lpstr>Hyd_Pipe_Sanitary_SD_name</vt:lpstr>
      <vt:lpstr>Hyd_Pipe_Sanitary_SP_color</vt:lpstr>
      <vt:lpstr>Hyd_Pipe_Sanitary_SP_linetype</vt:lpstr>
      <vt:lpstr>Hyd_Pipe_Sanitary_SP_lineweight</vt:lpstr>
      <vt:lpstr>Hyd_Pipe_Sanitary_SP_name</vt:lpstr>
      <vt:lpstr>Hyd_Pipe_Sanitary_SW_color</vt:lpstr>
      <vt:lpstr>Hyd_Pipe_Sanitary_SW_linetype</vt:lpstr>
      <vt:lpstr>Hyd_Pipe_Sanitary_SW_lineweight</vt:lpstr>
      <vt:lpstr>Hyd_Pipe_Sanitary_SW_name</vt:lpstr>
      <vt:lpstr>Hyd_Pipe_Sanitary_TW_color</vt:lpstr>
      <vt:lpstr>Hyd_Pipe_Sanitary_TW_linetype</vt:lpstr>
      <vt:lpstr>Hyd_Pipe_Sanitary_TW_lineweight</vt:lpstr>
      <vt:lpstr>Hyd_Pipe_Sanitary_TW_name</vt:lpstr>
      <vt:lpstr>Hyd_Pipe_Sanitary_VP_color</vt:lpstr>
      <vt:lpstr>Hyd_Pipe_Sanitary_VP_linetype</vt:lpstr>
      <vt:lpstr>Hyd_Pipe_Sanitary_VP_lineweight</vt:lpstr>
      <vt:lpstr>Hyd_Pipe_Sanitary_VP_name</vt:lpstr>
      <vt:lpstr>Hyd_Pipe_Stormwater_SS_color</vt:lpstr>
      <vt:lpstr>Hyd_Pipe_Stormwater_SS_linetype</vt:lpstr>
      <vt:lpstr>Hyd_Pipe_Stormwater_SS_lineweight</vt:lpstr>
      <vt:lpstr>Hyd_Pipe_Stormwater_SS_name</vt:lpstr>
      <vt:lpstr>Hyd_Pipe_Stormwater_STW_color</vt:lpstr>
      <vt:lpstr>Hyd_Pipe_Stormwater_STW_linetype</vt:lpstr>
      <vt:lpstr>Hyd_Pipe_Stormwater_STW_lineweight</vt:lpstr>
      <vt:lpstr>Hyd_Pipe_Stormwater_STW_name</vt:lpstr>
      <vt:lpstr>Hyd_Pipe_Water_CW_color</vt:lpstr>
      <vt:lpstr>Hyd_Pipe_Water_CW_linetype</vt:lpstr>
      <vt:lpstr>Hyd_Pipe_Water_CW_lineweight</vt:lpstr>
      <vt:lpstr>Hyd_Pipe_Water_CW_name</vt:lpstr>
      <vt:lpstr>Hyd_Pipe_Water_HW_color</vt:lpstr>
      <vt:lpstr>Hyd_Pipe_Water_HW_linetype</vt:lpstr>
      <vt:lpstr>Hyd_Pipe_Water_HW_lineweight</vt:lpstr>
      <vt:lpstr>Hyd_Pipe_Water_HW_name</vt:lpstr>
      <vt:lpstr>Hyd_Pipe_Water_HWR_color</vt:lpstr>
      <vt:lpstr>Hyd_Pipe_Water_HWR_linetype</vt:lpstr>
      <vt:lpstr>Hyd_Pipe_Water_HWR_lineweight</vt:lpstr>
      <vt:lpstr>Hyd_Pipe_Water_HWR_name</vt:lpstr>
      <vt:lpstr>Hyd_Pipe_Water_RE_color</vt:lpstr>
      <vt:lpstr>Hyd_Pipe_Water_RE_linetype</vt:lpstr>
      <vt:lpstr>Hyd_Pipe_Water_RE_lineweight</vt:lpstr>
      <vt:lpstr>Hyd_Pipe_Water_RE_name</vt:lpstr>
      <vt:lpstr>Hyd_Pipe_Water_WW_color</vt:lpstr>
      <vt:lpstr>Hyd_Pipe_Water_WW_linetype</vt:lpstr>
      <vt:lpstr>Hyd_Pipe_Water_WW_lineweight</vt:lpstr>
      <vt:lpstr>Hyd_Pipe_Water_WW_name</vt:lpstr>
      <vt:lpstr>Hyd_Symbol_color</vt:lpstr>
      <vt:lpstr>Hyd_Symbol_Fire_FH_color</vt:lpstr>
      <vt:lpstr>Hyd_Symbol_Fire_FH_linetype</vt:lpstr>
      <vt:lpstr>Hyd_Symbol_Fire_FH_lineweight</vt:lpstr>
      <vt:lpstr>Hyd_Symbol_Fire_FH_name</vt:lpstr>
      <vt:lpstr>Hyd_Symbol_Fire_FHR_color</vt:lpstr>
      <vt:lpstr>Hyd_Symbol_Fire_FHR_linetype</vt:lpstr>
      <vt:lpstr>Hyd_Symbol_Fire_FHR_lineweight</vt:lpstr>
      <vt:lpstr>Hyd_Symbol_Fire_FHR_name</vt:lpstr>
      <vt:lpstr>Hyd_Symbol_Fire_Fixture_color</vt:lpstr>
      <vt:lpstr>Hyd_Symbol_Fire_Fixture_linetype</vt:lpstr>
      <vt:lpstr>Hyd_Symbol_Fire_Fixture_lineweight</vt:lpstr>
      <vt:lpstr>Hyd_Symbol_Fire_Fixture_name</vt:lpstr>
      <vt:lpstr>Hyd_Symbol_Fire_FS_color</vt:lpstr>
      <vt:lpstr>Hyd_Symbol_Fire_FS_linetype</vt:lpstr>
      <vt:lpstr>Hyd_Symbol_Fire_FS_lineweight</vt:lpstr>
      <vt:lpstr>Hyd_Symbol_Fire_FS_name</vt:lpstr>
      <vt:lpstr>Hyd_Symbol_Gas_Fixture_color</vt:lpstr>
      <vt:lpstr>Hyd_Symbol_Gas_Fixture_linetype</vt:lpstr>
      <vt:lpstr>Hyd_Symbol_Gas_Fixture_lineweight</vt:lpstr>
      <vt:lpstr>Hyd_Symbol_Gas_Fixture_name</vt:lpstr>
      <vt:lpstr>Hyd_Symbol_Gas_G_color</vt:lpstr>
      <vt:lpstr>Hyd_Symbol_Gas_G_linetype</vt:lpstr>
      <vt:lpstr>Hyd_Symbol_Gas_G_lineweight</vt:lpstr>
      <vt:lpstr>Hyd_Symbol_Gas_G_name</vt:lpstr>
      <vt:lpstr>Hyd_Symbol_linetype</vt:lpstr>
      <vt:lpstr>Hyd_Symbol_lineweight</vt:lpstr>
      <vt:lpstr>Hyd_Symbol_name</vt:lpstr>
      <vt:lpstr>Hyd_Symbol_Sanitary_Fixture_color</vt:lpstr>
      <vt:lpstr>Hyd_Symbol_Sanitary_Fixture_linetype</vt:lpstr>
      <vt:lpstr>Hyd_Symbol_Sanitary_Fixture_lineweight</vt:lpstr>
      <vt:lpstr>Hyd_Symbol_Sanitary_Fixture_name</vt:lpstr>
      <vt:lpstr>Hyd_Symbol_Sanitary_SD_color</vt:lpstr>
      <vt:lpstr>Hyd_Symbol_Sanitary_SD_linetype</vt:lpstr>
      <vt:lpstr>Hyd_Symbol_Sanitary_SD_lineweight</vt:lpstr>
      <vt:lpstr>Hyd_Symbol_Sanitary_SD_name</vt:lpstr>
      <vt:lpstr>Hyd_Symbol_Sanitary_SP_color</vt:lpstr>
      <vt:lpstr>Hyd_Symbol_Sanitary_SP_linetype</vt:lpstr>
      <vt:lpstr>Hyd_Symbol_Sanitary_SP_lineweight</vt:lpstr>
      <vt:lpstr>Hyd_Symbol_Sanitary_SP_name</vt:lpstr>
      <vt:lpstr>Hyd_Symbol_Sanitary_SW_color</vt:lpstr>
      <vt:lpstr>Hyd_Symbol_Sanitary_SW_linetype</vt:lpstr>
      <vt:lpstr>Hyd_Symbol_Sanitary_SW_lineweight</vt:lpstr>
      <vt:lpstr>Hyd_Symbol_Sanitary_SW_name</vt:lpstr>
      <vt:lpstr>Hyd_Symbol_Sanitary_TW_color</vt:lpstr>
      <vt:lpstr>Hyd_Symbol_Sanitary_TW_linetype</vt:lpstr>
      <vt:lpstr>Hyd_Symbol_Sanitary_TW_lineweight</vt:lpstr>
      <vt:lpstr>Hyd_Symbol_Sanitary_TW_name</vt:lpstr>
      <vt:lpstr>Hyd_Symbol_Sanitary_VP_color</vt:lpstr>
      <vt:lpstr>Hyd_Symbol_Sanitary_VP_linetype</vt:lpstr>
      <vt:lpstr>Hyd_Symbol_Sanitary_VP_lineweight</vt:lpstr>
      <vt:lpstr>Hyd_Symbol_Sanitary_VP_name</vt:lpstr>
      <vt:lpstr>Hyd_Symbol_Stormwater_Fixture_color</vt:lpstr>
      <vt:lpstr>Hyd_Symbol_Stormwater_Fixture_linetype</vt:lpstr>
      <vt:lpstr>Hyd_Symbol_Stormwater_Fixture_lineweight</vt:lpstr>
      <vt:lpstr>Hyd_Symbol_Stormwater_Fixture_name</vt:lpstr>
      <vt:lpstr>Hyd_Symbol_Stormwater_SS_color</vt:lpstr>
      <vt:lpstr>Hyd_Symbol_Stormwater_SS_linetype</vt:lpstr>
      <vt:lpstr>Hyd_Symbol_Stormwater_SS_lineweight</vt:lpstr>
      <vt:lpstr>Hyd_Symbol_Stormwater_SS_name</vt:lpstr>
      <vt:lpstr>Hyd_Symbol_Stormwater_STW_color</vt:lpstr>
      <vt:lpstr>Hyd_Symbol_Stormwater_STW_linetype</vt:lpstr>
      <vt:lpstr>Hyd_Symbol_Stormwater_STW_lineweight</vt:lpstr>
      <vt:lpstr>Hyd_Symbol_Stormwater_STW_name</vt:lpstr>
      <vt:lpstr>Hyd_Symbol_Valve_color</vt:lpstr>
      <vt:lpstr>Hyd_Symbol_Valve_linetype</vt:lpstr>
      <vt:lpstr>Hyd_Symbol_Valve_lineweight</vt:lpstr>
      <vt:lpstr>Hyd_Symbol_Valve_name</vt:lpstr>
      <vt:lpstr>Hyd_Symbol_Water_CW_color</vt:lpstr>
      <vt:lpstr>Hyd_Symbol_Water_CW_linetype</vt:lpstr>
      <vt:lpstr>Hyd_Symbol_Water_CW_lineweight</vt:lpstr>
      <vt:lpstr>Hyd_Symbol_Water_CW_name</vt:lpstr>
      <vt:lpstr>Hyd_Symbol_Water_Fixture_color</vt:lpstr>
      <vt:lpstr>Hyd_Symbol_Water_Fixture_linetype</vt:lpstr>
      <vt:lpstr>Hyd_Symbol_Water_Fixture_lineweight</vt:lpstr>
      <vt:lpstr>Hyd_Symbol_Water_Fixture_name</vt:lpstr>
      <vt:lpstr>Hyd_Symbol_Water_HW_color</vt:lpstr>
      <vt:lpstr>Hyd_Symbol_Water_HW_linetype</vt:lpstr>
      <vt:lpstr>Hyd_Symbol_Water_HW_lineweight</vt:lpstr>
      <vt:lpstr>Hyd_Symbol_Water_HW_name</vt:lpstr>
      <vt:lpstr>Hyd_Symbol_Water_HWR_color</vt:lpstr>
      <vt:lpstr>Hyd_Symbol_Water_HWR_linetype</vt:lpstr>
      <vt:lpstr>Hyd_Symbol_Water_HWR_lineweight</vt:lpstr>
      <vt:lpstr>Hyd_Symbol_Water_HWR_name</vt:lpstr>
      <vt:lpstr>Hyd_Symbol_Water_RE_color</vt:lpstr>
      <vt:lpstr>Hyd_Symbol_Water_RE_linetype</vt:lpstr>
      <vt:lpstr>Hyd_Symbol_Water_RE_lineweight</vt:lpstr>
      <vt:lpstr>Hyd_Symbol_Water_RE_name</vt:lpstr>
      <vt:lpstr>Hyd_Symbol_Water_WW_color</vt:lpstr>
      <vt:lpstr>Hyd_Symbol_Water_WW_linetype</vt:lpstr>
      <vt:lpstr>Hyd_Symbol_Water_WW_lineweight</vt:lpstr>
      <vt:lpstr>Hyd_Symbol_Water_WW_name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Nathan Wecksler</cp:lastModifiedBy>
  <dcterms:created xsi:type="dcterms:W3CDTF">2025-12-23T13:05:55Z</dcterms:created>
  <dcterms:modified xsi:type="dcterms:W3CDTF">2025-12-23T13:06:34Z</dcterms:modified>
</cp:coreProperties>
</file>